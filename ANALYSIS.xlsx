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D " sheetId="1" r:id="rId4"/>
    <sheet state="hidden" name="STEP BY STEP" sheetId="2" r:id="rId5"/>
    <sheet state="visible" name="CLEAN DATA" sheetId="3" r:id="rId6"/>
    <sheet state="visible" name="ANALYSIS" sheetId="4" r:id="rId7"/>
    <sheet state="hidden" name="B" sheetId="5" r:id="rId8"/>
  </sheets>
  <definedNames/>
  <calcPr/>
  <pivotCaches>
    <pivotCache cacheId="0" r:id="rId9"/>
  </pivotCaches>
</workbook>
</file>

<file path=xl/sharedStrings.xml><?xml version="1.0" encoding="utf-8"?>
<sst xmlns="http://schemas.openxmlformats.org/spreadsheetml/2006/main" count="1705" uniqueCount="145">
  <si>
    <t>booking_id</t>
  </si>
  <si>
    <t>flight_date</t>
  </si>
  <si>
    <t>route</t>
  </si>
  <si>
    <t>airline</t>
  </si>
  <si>
    <t>ticket_price</t>
  </si>
  <si>
    <t>baggage_add_on</t>
  </si>
  <si>
    <t>baggage_fee</t>
  </si>
  <si>
    <t>issued_error</t>
  </si>
  <si>
    <t>payment_method</t>
  </si>
  <si>
    <t>DPS-SIN</t>
  </si>
  <si>
    <t>Lion Air</t>
  </si>
  <si>
    <t>Yes</t>
  </si>
  <si>
    <t>Credit Card</t>
  </si>
  <si>
    <t>CGK-KUL</t>
  </si>
  <si>
    <t>Citilink</t>
  </si>
  <si>
    <t>No</t>
  </si>
  <si>
    <t>CGK-SUB</t>
  </si>
  <si>
    <t>Garuda</t>
  </si>
  <si>
    <t>E-Wallet</t>
  </si>
  <si>
    <t>AirAsia</t>
  </si>
  <si>
    <t>Transfer</t>
  </si>
  <si>
    <t>CGK-SIN</t>
  </si>
  <si>
    <t>13/01/2025</t>
  </si>
  <si>
    <t>14/01/2025</t>
  </si>
  <si>
    <t>15/01/2025</t>
  </si>
  <si>
    <t>16/01/2025</t>
  </si>
  <si>
    <t>17/01/2025</t>
  </si>
  <si>
    <t>18/01/2025</t>
  </si>
  <si>
    <t>19/01/2025</t>
  </si>
  <si>
    <t>CGK-DPS</t>
  </si>
  <si>
    <t>20/01/2025</t>
  </si>
  <si>
    <t>21/01/2025</t>
  </si>
  <si>
    <t>22/01/2025</t>
  </si>
  <si>
    <t>23/01/2025</t>
  </si>
  <si>
    <t>24/01/2025</t>
  </si>
  <si>
    <t>25/01/2025</t>
  </si>
  <si>
    <t>26/01/2025</t>
  </si>
  <si>
    <t>27/01/2025</t>
  </si>
  <si>
    <t>28/01/2025</t>
  </si>
  <si>
    <t>29/01/2025</t>
  </si>
  <si>
    <t>30/01/2025</t>
  </si>
  <si>
    <t>31/01/2025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</si>
  <si>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</si>
  <si>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</si>
  <si>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</si>
  <si>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</si>
  <si>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</si>
  <si>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</si>
  <si>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</si>
  <si>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</si>
  <si>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</si>
  <si>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</si>
  <si>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</si>
  <si>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</si>
  <si>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</si>
  <si>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</si>
  <si>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</si>
  <si>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</si>
  <si>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</si>
  <si>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</si>
  <si>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</si>
  <si>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</si>
  <si>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</si>
  <si>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</si>
  <si>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</si>
  <si>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</si>
  <si>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</si>
  <si>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</si>
  <si>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</si>
  <si>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</si>
  <si>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</si>
  <si>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</si>
  <si>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</si>
  <si>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</si>
  <si>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</si>
  <si>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</si>
  <si>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</si>
  <si>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</si>
  <si>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</si>
  <si>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</si>
  <si>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</si>
  <si>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</si>
  <si>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</si>
  <si>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</si>
  <si>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</si>
  <si>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</si>
  <si>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</si>
  <si>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</si>
  <si>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</si>
  <si>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</si>
  <si>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</si>
  <si>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</si>
  <si>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</si>
  <si>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</si>
  <si>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</si>
  <si>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1. Change flight date format to date with =DATEVALUE(B2); if there's error.
🔧 Fix Locale
File → Settings
Region → Indonesia
Save &amp; reload
reload=DATEVALUE(B2)</t>
  </si>
  <si>
    <t xml:space="preserve">2. Change ticket and baggage price with currency format </t>
  </si>
  <si>
    <t>3. make sure if the baggage is 0 fee also 0  (using filter)</t>
  </si>
  <si>
    <t>4. create new colom for total revenue (fligth ticket and baggage)</t>
  </si>
  <si>
    <t>5. create new colom untuk error flight, fungsinya untuk menghitung berapa jumlag error yang ada</t>
  </si>
  <si>
    <t>6. Pivot 1 — Revenue Bagasi per Rute</t>
  </si>
  <si>
    <t>7. Pivot 2 — Error Rate per Maskapai</t>
  </si>
  <si>
    <t>8. Pivot 3 — Transaksi Bagasi</t>
  </si>
  <si>
    <t>total revenue</t>
  </si>
  <si>
    <t>error flag</t>
  </si>
  <si>
    <t>Insight 1</t>
  </si>
  <si>
    <t>Rute CGK-SIN memiliki pendapatan bagasi tertinggi sebesar Rp2.550.000.</t>
  </si>
  <si>
    <t>Insight 2</t>
  </si>
  <si>
    <t>Maskapai Lion Air memiliki tingkat error issued tertinggi sebesar 25,93%.</t>
  </si>
  <si>
    <t>Insight 3 (Rekomendasi)</t>
  </si>
  <si>
    <t>Perlu dilakukan pengecekan tambahan pada rute DPS-SIN untuk mengurangi error dan meningkatkan revenue.karena rute tersebut memiliki volume transaksi tertinggi. Optimalisasi di rute ini berpotensi menurunkan error dan menjaga revenue bagasi.</t>
  </si>
  <si>
    <t>DPS–SIN</t>
  </si>
  <si>
    <t>1,800,000</t>
  </si>
  <si>
    <t>1,650,000</t>
  </si>
  <si>
    <t>CGK–SIN</t>
  </si>
  <si>
    <t>2,100,000</t>
  </si>
  <si>
    <t>CGK–DPS</t>
  </si>
  <si>
    <t>1,300,000</t>
  </si>
  <si>
    <t>CGK–KUL</t>
  </si>
  <si>
    <t>1,250,000</t>
  </si>
  <si>
    <t>ANALYSIS OF  BAGGAGE POST ISSUEANCE</t>
  </si>
  <si>
    <t>📊 Analysis 1 — Baggage Transaction by Route</t>
  </si>
  <si>
    <t>Pivot 1 — Revenue Bagasi per Rute</t>
  </si>
  <si>
    <t>Revenue Bagasi per Rute</t>
  </si>
  <si>
    <t>Grand Total</t>
  </si>
  <si>
    <t>Pivot analysis shows that DPS–SIN has the highest number of baggage add-on transactions compared to other routes.</t>
  </si>
  <si>
    <t>The analysis shows that DPS–SIN has the highest baggage add-on transaction volume. This route therefore represents a high-impact area where even small operational issues could result in significant revenue loss.</t>
  </si>
  <si>
    <t>📊Analysis 2 — Issued Error by Analysis</t>
  </si>
  <si>
    <t>Pivot 2 — Error Rate per Maskapai</t>
  </si>
  <si>
    <t>COUNT of booking_id</t>
  </si>
  <si>
    <t>SUM of error flag</t>
  </si>
  <si>
    <t>%</t>
  </si>
  <si>
    <t>When segmented by airline, Lion Air and Citilink show relatively high baggage transaction volumes across multiple routes. Airlines with consistently high baggage transaction volumes require closer monitoring, as operational errors on these airlines may have a broader financial impact</t>
  </si>
  <si>
    <t>📊 Analysis 3 — Baggage Transaction Volume by Route</t>
  </si>
  <si>
    <t>Pivot 3 — Transaksi Bagasi</t>
  </si>
  <si>
    <t>SUM of baggage_add_on</t>
  </si>
  <si>
    <r>
      <rPr>
        <rFont val="Arial"/>
        <color theme="1"/>
      </rPr>
      <t xml:space="preserve">Error analysis reveals that issuance errors occur move frequenlty on routes with higher transaction volume, particularly </t>
    </r>
    <r>
      <rPr>
        <rFont val="Arial"/>
        <b/>
        <color theme="1"/>
      </rPr>
      <t>DPS-SIN</t>
    </r>
  </si>
  <si>
    <t>Key Insights</t>
  </si>
  <si>
    <t xml:space="preserve">- DPS–SIN is the highest-volume route for baggage add-on transactions
- Higher transaction volume is associated with a higher frequency of issuance errors
- Routes contributing the most baggage revenue also carry the highest operational risk
- Error monitoring should prioritize transaction volume rather than route count alone
</t>
  </si>
  <si>
    <t>Recommendations</t>
  </si>
  <si>
    <t xml:space="preserve">- Prioritize additional quality control checks on DPS–SIN due to its high baggage transaction volume
- Implement error monitoring dashboards for high-impact routes
- Provide targeted refresher training for agents handling high-volume baggage issuance
- Regularly review baggage issuance performance to reduce revenue leakage
- Optimizing high-volume routes can help reduce issuance errors while protecting baggage revenue  </t>
  </si>
  <si>
    <t>Conclusion</t>
  </si>
  <si>
    <t>By analyzing baggage revenue, transaction volume, and issued error patterns, this project highlights key operational focus areas where process improvements can deliver both efficiency gains and revenue protection.</t>
  </si>
  <si>
    <t>Tools Used</t>
  </si>
  <si>
    <t>- Microsoft Excel / Google Sheets
- Pivot Tables 
- Data Visualization (Charts)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</si>
</sst>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Rp]#,##0.00"/>
    <numFmt numFmtId="166" formatCode="[$Rp]#,##0"/>
    <numFmt numFmtId="167" formatCode="yyyy-mm-dd"/>
  </numFmts>
  <fonts count="9">
    <font>
      <sz val="10.0"/>
      <color rgb="FF000000"/>
      <name val="Arial"/>
      <scheme val="minor"/>
    </font>
    <font>
      <b/>
      <color theme="1"/>
      <name val="Arial"/>
      <scheme val="minor"/>
    </font>
    <font>
      <color theme="1"/>
      <name val="Arial"/>
      <scheme val="minor"/>
    </font>
    <font>
      <b/>
      <sz val="16.0"/>
      <color theme="1"/>
      <name val="Arial"/>
      <scheme val="minor"/>
    </font>
    <font>
      <b/>
      <sz val="12.0"/>
      <color rgb="FF000000"/>
      <name val="Arial"/>
    </font>
    <font>
      <sz val="11.0"/>
      <color rgb="FF000000"/>
      <name val="Arial"/>
    </font>
    <font>
      <b/>
      <color rgb="FF434343"/>
      <name val="Arial"/>
      <scheme val="minor"/>
    </font>
    <font>
      <color rgb="FF434343"/>
      <name val="Arial"/>
      <scheme val="minor"/>
    </font>
    <font>
      <b/>
      <sz val="11.0"/>
      <color rgb="FF000000"/>
      <name val="Arial"/>
    </font>
  </fonts>
  <fills count="3">
    <fill>
      <patternFill patternType="none"/>
    </fill>
    <fill>
      <patternFill patternType="lightGray"/>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xf borderId="1" fillId="0" fontId="1"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165" xfId="0" applyAlignment="1" applyBorder="1" applyFont="1" applyNumberFormat="1">
      <alignment horizontal="center" readingOrder="0"/>
    </xf>
    <xf borderId="1" fillId="0" fontId="2" numFmtId="166" xfId="0" applyAlignment="1" applyBorder="1" applyFont="1" applyNumberFormat="1">
      <alignment horizontal="center" readingOrder="0"/>
    </xf>
    <xf borderId="1" fillId="0" fontId="2" numFmtId="165" xfId="0" applyAlignment="1" applyBorder="1" applyFont="1" applyNumberFormat="1">
      <alignment horizontal="center"/>
    </xf>
    <xf borderId="1" fillId="0" fontId="2" numFmtId="0" xfId="0" applyAlignment="1" applyBorder="1" applyFont="1">
      <alignment horizontal="center"/>
    </xf>
    <xf borderId="0" fillId="0" fontId="2" numFmtId="0" xfId="0" applyAlignment="1" applyFont="1">
      <alignment horizontal="center"/>
    </xf>
    <xf borderId="1" fillId="0" fontId="2" numFmtId="167" xfId="0" applyAlignment="1" applyBorder="1" applyFont="1" applyNumberFormat="1">
      <alignment horizontal="center" readingOrder="0"/>
    </xf>
    <xf borderId="0" fillId="0" fontId="3" numFmtId="0" xfId="0" applyAlignment="1" applyFont="1">
      <alignment horizontal="center" readingOrder="0"/>
    </xf>
    <xf borderId="0" fillId="0" fontId="4" numFmtId="0" xfId="0" applyAlignment="1" applyFont="1">
      <alignment readingOrder="0"/>
    </xf>
    <xf borderId="0" fillId="0" fontId="1" numFmtId="0" xfId="0" applyAlignment="1" applyFont="1">
      <alignment readingOrder="0"/>
    </xf>
    <xf borderId="0" fillId="0" fontId="2" numFmtId="166" xfId="0" applyAlignment="1" applyFont="1" applyNumberFormat="1">
      <alignment horizontal="center"/>
    </xf>
    <xf borderId="0" fillId="0" fontId="5" numFmtId="0" xfId="0" applyAlignment="1" applyFont="1">
      <alignment readingOrder="0"/>
    </xf>
    <xf borderId="0" fillId="0" fontId="5" numFmtId="0" xfId="0" applyAlignment="1" applyFont="1">
      <alignment readingOrder="0" shrinkToFit="0" wrapText="1"/>
    </xf>
    <xf borderId="1" fillId="2" fontId="6" numFmtId="0" xfId="0" applyAlignment="1" applyBorder="1" applyFill="1" applyFont="1">
      <alignment horizontal="center"/>
    </xf>
    <xf borderId="1" fillId="2" fontId="6" numFmtId="0" xfId="0" applyAlignment="1" applyBorder="1" applyFont="1">
      <alignment horizontal="center" readingOrder="0"/>
    </xf>
    <xf borderId="1" fillId="2" fontId="7" numFmtId="0" xfId="0" applyAlignment="1" applyBorder="1" applyFont="1">
      <alignment horizontal="center"/>
    </xf>
    <xf borderId="1" fillId="2" fontId="7" numFmtId="10" xfId="0" applyAlignment="1" applyBorder="1" applyFont="1" applyNumberFormat="1">
      <alignment horizontal="center"/>
    </xf>
    <xf borderId="0" fillId="0" fontId="2" numFmtId="0" xfId="0" applyFont="1"/>
    <xf borderId="0" fillId="0" fontId="8"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Bagasi per Rute</a:t>
            </a:r>
          </a:p>
        </c:rich>
      </c:tx>
      <c:overlay val="0"/>
    </c:title>
    <c:plotArea>
      <c:layout/>
      <c:barChart>
        <c:barDir val="col"/>
        <c:grouping val="stacked"/>
        <c:ser>
          <c:idx val="0"/>
          <c:order val="0"/>
          <c:tx>
            <c:strRef>
              <c:f>ANALYSIS!$B$7</c:f>
            </c:strRef>
          </c:tx>
          <c:spPr>
            <a:solidFill>
              <a:schemeClr val="accent1"/>
            </a:solidFill>
            <a:ln cmpd="sng">
              <a:solidFill>
                <a:srgbClr val="000000"/>
              </a:solidFill>
            </a:ln>
          </c:spPr>
          <c:cat>
            <c:strRef>
              <c:f>ANALYSIS!$A$8:$A$13</c:f>
            </c:strRef>
          </c:cat>
          <c:val>
            <c:numRef>
              <c:f>ANALYSIS!$B$8:$B$13</c:f>
              <c:numCache/>
            </c:numRef>
          </c:val>
        </c:ser>
        <c:overlap val="100"/>
        <c:axId val="953273386"/>
        <c:axId val="1499436629"/>
      </c:barChart>
      <c:catAx>
        <c:axId val="9532733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route</a:t>
                </a:r>
              </a:p>
            </c:rich>
          </c:tx>
          <c:overlay val="0"/>
        </c:title>
        <c:numFmt formatCode="General" sourceLinked="1"/>
        <c:majorTickMark val="none"/>
        <c:minorTickMark val="none"/>
        <c:spPr/>
        <c:txPr>
          <a:bodyPr/>
          <a:lstStyle/>
          <a:p>
            <a:pPr lvl="0">
              <a:defRPr b="0">
                <a:solidFill>
                  <a:srgbClr val="000000"/>
                </a:solidFill>
                <a:latin typeface="+mn-lt"/>
              </a:defRPr>
            </a:pPr>
          </a:p>
        </c:txPr>
        <c:crossAx val="1499436629"/>
      </c:catAx>
      <c:valAx>
        <c:axId val="1499436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 Bagasi per Rute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32733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TRANSAKSI BAGASI</a:t>
            </a:r>
          </a:p>
        </c:rich>
      </c:tx>
      <c:overlay val="0"/>
    </c:title>
    <c:plotArea>
      <c:layout/>
      <c:barChart>
        <c:barDir val="col"/>
        <c:ser>
          <c:idx val="0"/>
          <c:order val="0"/>
          <c:tx>
            <c:strRef>
              <c:f>ANALYSIS!$A$69</c:f>
            </c:strRef>
          </c:tx>
          <c:spPr>
            <a:solidFill>
              <a:schemeClr val="accent1"/>
            </a:solidFill>
            <a:ln cmpd="sng">
              <a:solidFill>
                <a:srgbClr val="000000"/>
              </a:solidFill>
            </a:ln>
          </c:spPr>
          <c:cat>
            <c:strRef>
              <c:f>ANALYSIS!$B$68:$E$68</c:f>
            </c:strRef>
          </c:cat>
          <c:val>
            <c:numRef>
              <c:f>ANALYSIS!$B$69:$E$69</c:f>
              <c:numCache/>
            </c:numRef>
          </c:val>
        </c:ser>
        <c:ser>
          <c:idx val="1"/>
          <c:order val="1"/>
          <c:tx>
            <c:strRef>
              <c:f>ANALYSIS!$A$70</c:f>
            </c:strRef>
          </c:tx>
          <c:spPr>
            <a:solidFill>
              <a:schemeClr val="accent2"/>
            </a:solidFill>
            <a:ln cmpd="sng">
              <a:solidFill>
                <a:srgbClr val="000000"/>
              </a:solidFill>
            </a:ln>
          </c:spPr>
          <c:cat>
            <c:strRef>
              <c:f>ANALYSIS!$B$68:$E$68</c:f>
            </c:strRef>
          </c:cat>
          <c:val>
            <c:numRef>
              <c:f>ANALYSIS!$B$70:$E$70</c:f>
              <c:numCache/>
            </c:numRef>
          </c:val>
        </c:ser>
        <c:ser>
          <c:idx val="2"/>
          <c:order val="2"/>
          <c:tx>
            <c:strRef>
              <c:f>ANALYSIS!$A$71</c:f>
            </c:strRef>
          </c:tx>
          <c:spPr>
            <a:solidFill>
              <a:schemeClr val="accent3"/>
            </a:solidFill>
            <a:ln cmpd="sng">
              <a:solidFill>
                <a:srgbClr val="000000"/>
              </a:solidFill>
            </a:ln>
          </c:spPr>
          <c:cat>
            <c:strRef>
              <c:f>ANALYSIS!$B$68:$E$68</c:f>
            </c:strRef>
          </c:cat>
          <c:val>
            <c:numRef>
              <c:f>ANALYSIS!$B$71:$E$71</c:f>
              <c:numCache/>
            </c:numRef>
          </c:val>
        </c:ser>
        <c:ser>
          <c:idx val="3"/>
          <c:order val="3"/>
          <c:tx>
            <c:strRef>
              <c:f>ANALYSIS!$A$72</c:f>
            </c:strRef>
          </c:tx>
          <c:spPr>
            <a:solidFill>
              <a:schemeClr val="accent4"/>
            </a:solidFill>
            <a:ln cmpd="sng">
              <a:solidFill>
                <a:srgbClr val="000000"/>
              </a:solidFill>
            </a:ln>
          </c:spPr>
          <c:cat>
            <c:strRef>
              <c:f>ANALYSIS!$B$68:$E$68</c:f>
            </c:strRef>
          </c:cat>
          <c:val>
            <c:numRef>
              <c:f>ANALYSIS!$B$72:$E$72</c:f>
              <c:numCache/>
            </c:numRef>
          </c:val>
        </c:ser>
        <c:ser>
          <c:idx val="4"/>
          <c:order val="4"/>
          <c:tx>
            <c:strRef>
              <c:f>ANALYSIS!$A$73</c:f>
            </c:strRef>
          </c:tx>
          <c:spPr>
            <a:solidFill>
              <a:schemeClr val="accent5"/>
            </a:solidFill>
            <a:ln cmpd="sng">
              <a:solidFill>
                <a:srgbClr val="000000"/>
              </a:solidFill>
            </a:ln>
          </c:spPr>
          <c:cat>
            <c:strRef>
              <c:f>ANALYSIS!$B$68:$E$68</c:f>
            </c:strRef>
          </c:cat>
          <c:val>
            <c:numRef>
              <c:f>ANALYSIS!$B$73:$E$73</c:f>
              <c:numCache/>
            </c:numRef>
          </c:val>
        </c:ser>
        <c:axId val="672867829"/>
        <c:axId val="1344138119"/>
      </c:barChart>
      <c:catAx>
        <c:axId val="672867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route</a:t>
                </a:r>
              </a:p>
            </c:rich>
          </c:tx>
          <c:overlay val="0"/>
        </c:title>
        <c:numFmt formatCode="General" sourceLinked="1"/>
        <c:majorTickMark val="none"/>
        <c:minorTickMark val="none"/>
        <c:spPr/>
        <c:txPr>
          <a:bodyPr/>
          <a:lstStyle/>
          <a:p>
            <a:pPr lvl="0">
              <a:defRPr b="0">
                <a:solidFill>
                  <a:srgbClr val="000000"/>
                </a:solidFill>
                <a:latin typeface="+mn-lt"/>
              </a:defRPr>
            </a:pPr>
          </a:p>
        </c:txPr>
        <c:crossAx val="1344138119"/>
      </c:catAx>
      <c:valAx>
        <c:axId val="1344138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2867829"/>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16</xdr:row>
      <xdr:rowOff>161925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47</xdr:row>
      <xdr:rowOff>133350</xdr:rowOff>
    </xdr:from>
    <xdr:ext cx="4152900" cy="2562225"/>
    <xdr:pic>
      <xdr:nvPicPr>
        <xdr:cNvPr id="48357632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xdr:colOff>
      <xdr:row>75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21" sheet="CLEAN DATA"/>
  </cacheSource>
  <cacheFields>
    <cacheField name="booking_id" numFmtId="0">
      <sharedItems containsSemiMixedTypes="0" containsString="0" containsNumber="1" containsInteger="1">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sharedItems>
    </cacheField>
    <cacheField name="flight_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sharedItems>
    </cacheField>
    <cacheField name="route" numFmtId="0">
      <sharedItems>
        <s v="DPS-SIN"/>
        <s v="CGK-KUL"/>
        <s v="CGK-SUB"/>
        <s v="CGK-SIN"/>
        <s v="CGK-DPS"/>
      </sharedItems>
    </cacheField>
    <cacheField name="airline" numFmtId="0">
      <sharedItems>
        <s v="Lion Air"/>
        <s v="Citilink"/>
        <s v="Garuda"/>
        <s v="AirAsia"/>
      </sharedItems>
    </cacheField>
    <cacheField name="ticket_price" numFmtId="165">
      <sharedItems containsSemiMixedTypes="0" containsString="0" containsNumber="1" containsInteger="1">
        <n v="2129626.0"/>
        <n v="1511774.0"/>
        <n v="2441093.0"/>
        <n v="1161079.0"/>
        <n v="1068452.0"/>
        <n v="806081.0"/>
        <n v="1683237.0"/>
        <n v="2361909.0"/>
        <n v="1258986.0"/>
        <n v="810078.0"/>
        <n v="722671.0"/>
        <n v="2166976.0"/>
        <n v="2104104.0"/>
        <n v="2359066.0"/>
        <n v="751663.0"/>
        <n v="1764284.0"/>
        <n v="1011955.0"/>
        <n v="1882459.0"/>
        <n v="2066970.0"/>
        <n v="812547.0"/>
        <n v="1610681.0"/>
        <n v="2307618.0"/>
        <n v="2499678.0"/>
        <n v="842483.0"/>
        <n v="1358271.0"/>
        <n v="914835.0"/>
        <n v="1101896.0"/>
        <n v="784896.0"/>
        <n v="1177095.0"/>
        <n v="771295.0"/>
        <n v="1443974.0"/>
        <n v="1587121.0"/>
        <n v="2021831.0"/>
        <n v="2048224.0"/>
        <n v="2405738.0"/>
        <n v="1756731.0"/>
        <n v="2215448.0"/>
        <n v="1525816.0"/>
        <n v="1074705.0"/>
        <n v="2320118.0"/>
        <n v="2358845.0"/>
        <n v="1254594.0"/>
        <n v="847718.0"/>
        <n v="2057563.0"/>
        <n v="1345263.0"/>
        <n v="2107321.0"/>
        <n v="1708239.0"/>
        <n v="807512.0"/>
        <n v="847443.0"/>
        <n v="2219163.0"/>
        <n v="1073616.0"/>
        <n v="1357409.0"/>
        <n v="1386976.0"/>
        <n v="2114447.0"/>
        <n v="1075037.0"/>
        <n v="1744107.0"/>
        <n v="1507364.0"/>
        <n v="817796.0"/>
        <n v="2040575.0"/>
        <n v="1941082.0"/>
        <n v="1690198.0"/>
        <n v="1398376.0"/>
        <n v="969544.0"/>
        <n v="1080002.0"/>
        <n v="1398002.0"/>
        <n v="2288015.0"/>
        <n v="1290978.0"/>
        <n v="2277363.0"/>
        <n v="2279159.0"/>
        <n v="1607317.0"/>
        <n v="1088215.0"/>
        <n v="1021184.0"/>
        <n v="2171091.0"/>
        <n v="1368234.0"/>
        <n v="1078480.0"/>
        <n v="732711.0"/>
        <n v="1491971.0"/>
        <n v="1201157.0"/>
        <n v="884423.0"/>
        <n v="1216349.0"/>
        <n v="2452290.0"/>
        <n v="1612495.0"/>
        <n v="2406493.0"/>
        <n v="1524792.0"/>
        <n v="2485954.0"/>
        <n v="833272.0"/>
        <n v="1467836.0"/>
        <n v="1686001.0"/>
        <n v="1402335.0"/>
        <n v="1507789.0"/>
        <n v="2391985.0"/>
        <n v="1826081.0"/>
        <n v="702869.0"/>
        <n v="1481474.0"/>
        <n v="1154351.0"/>
        <n v="2060828.0"/>
        <n v="1336584.0"/>
        <n v="1318467.0"/>
        <n v="1838848.0"/>
        <n v="738467.0"/>
        <n v="1736685.0"/>
        <n v="1577844.0"/>
        <n v="1180047.0"/>
        <n v="2407923.0"/>
        <n v="1807447.0"/>
        <n v="1639903.0"/>
        <n v="828391.0"/>
        <n v="1139430.0"/>
        <n v="1717026.0"/>
        <n v="2359280.0"/>
        <n v="956687.0"/>
        <n v="2474027.0"/>
        <n v="807450.0"/>
        <n v="871890.0"/>
        <n v="1138741.0"/>
        <n v="981974.0"/>
        <n v="2148685.0"/>
        <n v="816381.0"/>
        <n v="2221701.0"/>
        <n v="2320197.0"/>
      </sharedItems>
    </cacheField>
    <cacheField name="baggage_add_on" numFmtId="0">
      <sharedItems containsSemiMixedTypes="0" containsString="0" containsNumber="1" containsInteger="1">
        <n v="0.0"/>
        <n v="1.0"/>
      </sharedItems>
    </cacheField>
    <cacheField name="baggage_fee" numFmtId="166">
      <sharedItems containsSemiMixedTypes="0" containsString="0" containsNumber="1" containsInteger="1">
        <n v="0.0"/>
        <n v="250000.0"/>
        <n v="200000.0"/>
        <n v="150000.0"/>
      </sharedItems>
    </cacheField>
    <cacheField name="issued_error" numFmtId="0">
      <sharedItems>
        <s v="Yes"/>
        <s v="No"/>
      </sharedItems>
    </cacheField>
    <cacheField name="payment_method" numFmtId="0">
      <sharedItems>
        <s v="Credit Card"/>
        <s v="E-Wallet"/>
        <s v="Transfer"/>
      </sharedItems>
    </cacheField>
    <cacheField name="total revenue" numFmtId="165">
      <sharedItems containsSemiMixedTypes="0" containsString="0" containsNumber="1" containsInteger="1">
        <n v="2129626.0"/>
        <n v="1761774.0"/>
        <n v="2641093.0"/>
        <n v="1311079.0"/>
        <n v="1218452.0"/>
        <n v="1006081.0"/>
        <n v="1833237.0"/>
        <n v="2361909.0"/>
        <n v="1258986.0"/>
        <n v="810078.0"/>
        <n v="722671.0"/>
        <n v="2166976.0"/>
        <n v="2104104.0"/>
        <n v="2609066.0"/>
        <n v="1001663.0"/>
        <n v="2014284.0"/>
        <n v="1011955.0"/>
        <n v="1882459.0"/>
        <n v="2066970.0"/>
        <n v="1062547.0"/>
        <n v="1860681.0"/>
        <n v="2557618.0"/>
        <n v="2699678.0"/>
        <n v="842483.0"/>
        <n v="1358271.0"/>
        <n v="1164835.0"/>
        <n v="1101896.0"/>
        <n v="784896.0"/>
        <n v="1427095.0"/>
        <n v="771295.0"/>
        <n v="1443974.0"/>
        <n v="1587121.0"/>
        <n v="2021831.0"/>
        <n v="2248224.0"/>
        <n v="2405738.0"/>
        <n v="1756731.0"/>
        <n v="2415448.0"/>
        <n v="1525816.0"/>
        <n v="1074705.0"/>
        <n v="2570118.0"/>
        <n v="2508845.0"/>
        <n v="1254594.0"/>
        <n v="847718.0"/>
        <n v="2057563.0"/>
        <n v="1345263.0"/>
        <n v="2357321.0"/>
        <n v="1908239.0"/>
        <n v="957512.0"/>
        <n v="997443.0"/>
        <n v="2219163.0"/>
        <n v="1273616.0"/>
        <n v="1507409.0"/>
        <n v="1586976.0"/>
        <n v="2314447.0"/>
        <n v="1075037.0"/>
        <n v="1744107.0"/>
        <n v="1507364.0"/>
        <n v="817796.0"/>
        <n v="2040575.0"/>
        <n v="2091082.0"/>
        <n v="1840198.0"/>
        <n v="1398376.0"/>
        <n v="1119544.0"/>
        <n v="1080002.0"/>
        <n v="1398002.0"/>
        <n v="2488015.0"/>
        <n v="1290978.0"/>
        <n v="2277363.0"/>
        <n v="2279159.0"/>
        <n v="1757317.0"/>
        <n v="1088215.0"/>
        <n v="1221184.0"/>
        <n v="2171091.0"/>
        <n v="1368234.0"/>
        <n v="1328480.0"/>
        <n v="732711.0"/>
        <n v="1491971.0"/>
        <n v="1201157.0"/>
        <n v="884423.0"/>
        <n v="1466349.0"/>
        <n v="2452290.0"/>
        <n v="1612495.0"/>
        <n v="2406493.0"/>
        <n v="1774792.0"/>
        <n v="2485954.0"/>
        <n v="833272.0"/>
        <n v="1467836.0"/>
        <n v="1886001.0"/>
        <n v="1652335.0"/>
        <n v="1757789.0"/>
        <n v="2391985.0"/>
        <n v="1826081.0"/>
        <n v="702869.0"/>
        <n v="1731474.0"/>
        <n v="1404351.0"/>
        <n v="2260828.0"/>
        <n v="1336584.0"/>
        <n v="1568467.0"/>
        <n v="1838848.0"/>
        <n v="988467.0"/>
        <n v="1736685.0"/>
        <n v="1777844.0"/>
        <n v="1180047.0"/>
        <n v="2407923.0"/>
        <n v="1807447.0"/>
        <n v="1639903.0"/>
        <n v="828391.0"/>
        <n v="1139430.0"/>
        <n v="1717026.0"/>
        <n v="2359280.0"/>
        <n v="1106687.0"/>
        <n v="2724027.0"/>
        <n v="807450.0"/>
        <n v="871890.0"/>
        <n v="1288741.0"/>
        <n v="981974.0"/>
        <n v="2348685.0"/>
        <n v="816381.0"/>
        <n v="2221701.0"/>
        <n v="2570197.0"/>
      </sharedItems>
    </cacheField>
    <cacheField name="error flag" numFmtId="0">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IS" cacheId="0" dataCaption="" compact="0" compactData="0">
  <location ref="A7:B13" firstHeaderRow="0" firstDataRow="1" firstDataCol="0"/>
  <pivotFields>
    <pivotField name="booking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fligh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rout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irline" compact="0" outline="0" multipleItemSelectionAllowed="1" showAll="0">
      <items>
        <item x="0"/>
        <item x="1"/>
        <item x="2"/>
        <item x="3"/>
        <item t="default"/>
      </items>
    </pivotField>
    <pivotField name="ticke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baggage_add_on" compact="0" outline="0" multipleItemSelectionAllowed="1" showAll="0">
      <items>
        <item x="0"/>
        <item x="1"/>
        <item t="default"/>
      </items>
    </pivotField>
    <pivotField name="baggage_fee" dataField="1" compact="0" numFmtId="166" outline="0" multipleItemSelectionAllowed="1" showAll="0">
      <items>
        <item x="0"/>
        <item x="1"/>
        <item x="2"/>
        <item x="3"/>
        <item t="default"/>
      </items>
    </pivotField>
    <pivotField name="issued_error" compact="0" outline="0" multipleItemSelectionAllowed="1" showAll="0">
      <items>
        <item x="0"/>
        <item x="1"/>
        <item t="default"/>
      </items>
    </pivotField>
    <pivotField name="payment_method" compact="0" outline="0" multipleItemSelectionAllowed="1" showAll="0">
      <items>
        <item x="0"/>
        <item x="1"/>
        <item x="2"/>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rror flag" compact="0" outline="0" multipleItemSelectionAllowed="1" showAll="0">
      <items>
        <item x="0"/>
        <item x="1"/>
        <item t="default"/>
      </items>
    </pivotField>
  </pivotFields>
  <rowFields>
    <field x="2"/>
  </rowFields>
  <dataFields>
    <dataField name="Revenue Bagasi per Rute" fld="6" baseField="0"/>
  </dataFields>
</pivotTableDefinition>
</file>

<file path=xl/pivotTables/pivotTable2.xml><?xml version="1.0" encoding="utf-8"?>
<pivotTableDefinition xmlns="http://schemas.openxmlformats.org/spreadsheetml/2006/main" name="ANALYSIS 2" cacheId="0" dataCaption="" compact="0" compactData="0">
  <location ref="A42:C47" firstHeaderRow="0" firstDataRow="2" firstDataCol="0"/>
  <pivotFields>
    <pivotField name="booking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fligh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route" compact="0" outline="0" multipleItemSelectionAllowed="1" showAll="0">
      <items>
        <item x="0"/>
        <item x="1"/>
        <item x="2"/>
        <item x="3"/>
        <item x="4"/>
        <item t="default"/>
      </items>
    </pivotField>
    <pivotField name="airline"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ticke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baggage_add_on" compact="0" outline="0" multipleItemSelectionAllowed="1" showAll="0">
      <items>
        <item x="0"/>
        <item x="1"/>
        <item t="default"/>
      </items>
    </pivotField>
    <pivotField name="baggage_fee" compact="0" numFmtId="166" outline="0" multipleItemSelectionAllowed="1" showAll="0">
      <items>
        <item x="0"/>
        <item x="1"/>
        <item x="2"/>
        <item x="3"/>
        <item t="default"/>
      </items>
    </pivotField>
    <pivotField name="issued_error" compact="0" outline="0" multipleItemSelectionAllowed="1" showAll="0">
      <items>
        <item x="0"/>
        <item x="1"/>
        <item t="default"/>
      </items>
    </pivotField>
    <pivotField name="payment_method" compact="0" outline="0" multipleItemSelectionAllowed="1" showAll="0">
      <items>
        <item x="0"/>
        <item x="1"/>
        <item x="2"/>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rror flag" dataField="1" compact="0" outline="0" multipleItemSelectionAllowed="1" showAll="0">
      <items>
        <item x="0"/>
        <item x="1"/>
        <item t="default"/>
      </items>
    </pivotField>
  </pivotFields>
  <rowFields>
    <field x="3"/>
  </rowFields>
  <colFields>
    <field x="-2"/>
  </colFields>
  <dataFields>
    <dataField name="COUNT of booking_id" fld="0" subtotal="countNums" baseField="0"/>
    <dataField name="SUM of error flag" fld="10" baseField="0"/>
  </dataFields>
</pivotTableDefinition>
</file>

<file path=xl/pivotTables/pivotTable3.xml><?xml version="1.0" encoding="utf-8"?>
<pivotTableDefinition xmlns="http://schemas.openxmlformats.org/spreadsheetml/2006/main" name="ANALYSIS 3" cacheId="0" dataCaption="" compact="0" compactData="0">
  <location ref="A67:F74" firstHeaderRow="0" firstDataRow="1" firstDataCol="1"/>
  <pivotFields>
    <pivotField name="booking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fligh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route" axis="axisRow" compact="0" outline="0" multipleItemSelectionAllowed="1" showAll="0" sortType="descending">
      <items>
        <item x="0"/>
        <item x="2"/>
        <item x="3"/>
        <item x="1"/>
        <item x="4"/>
        <item t="default"/>
      </items>
    </pivotField>
    <pivotField name="airline" axis="axisCol" compact="0" outline="0" multipleItemSelectionAllowed="1" showAll="0" sortType="descending">
      <items>
        <item x="0"/>
        <item x="2"/>
        <item x="1"/>
        <item x="3"/>
        <item t="default"/>
      </items>
    </pivotField>
    <pivotField name="ticke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baggage_add_on" dataField="1" compact="0" outline="0" multipleItemSelectionAllowed="1" showAll="0">
      <items>
        <item x="0"/>
        <item x="1"/>
        <item t="default"/>
      </items>
    </pivotField>
    <pivotField name="baggage_fee" compact="0" numFmtId="166" outline="0" multipleItemSelectionAllowed="1" showAll="0">
      <items>
        <item x="0"/>
        <item x="1"/>
        <item x="2"/>
        <item x="3"/>
        <item t="default"/>
      </items>
    </pivotField>
    <pivotField name="issued_error" compact="0" outline="0" multipleItemSelectionAllowed="1" showAll="0">
      <items>
        <item x="0"/>
        <item x="1"/>
        <item t="default"/>
      </items>
    </pivotField>
    <pivotField name="payment_method" compact="0" outline="0" multipleItemSelectionAllowed="1" showAll="0">
      <items>
        <item x="0"/>
        <item x="1"/>
        <item x="2"/>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rror flag" compact="0" outline="0" multipleItemSelectionAllowed="1" showAll="0">
      <items>
        <item x="0"/>
        <item x="1"/>
        <item t="default"/>
      </items>
    </pivotField>
  </pivotFields>
  <rowFields>
    <field x="2"/>
  </rowFields>
  <colFields>
    <field x="3"/>
  </colFields>
  <dataFields>
    <dataField name="SUM of baggage_add_on"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15.75"/>
    <col customWidth="1" min="4" max="4" width="20.75"/>
    <col customWidth="1" min="6" max="6" width="17.0"/>
    <col customWidth="1" min="7" max="7" width="16.5"/>
    <col customWidth="1" min="9" max="9" width="26.5"/>
  </cols>
  <sheetData>
    <row r="1">
      <c r="A1" s="1" t="s">
        <v>0</v>
      </c>
      <c r="B1" s="1" t="s">
        <v>1</v>
      </c>
      <c r="C1" s="1" t="s">
        <v>2</v>
      </c>
      <c r="D1" s="1" t="s">
        <v>3</v>
      </c>
      <c r="E1" s="1" t="s">
        <v>4</v>
      </c>
      <c r="F1" s="1" t="s">
        <v>5</v>
      </c>
      <c r="G1" s="1" t="s">
        <v>6</v>
      </c>
      <c r="H1" s="1" t="s">
        <v>7</v>
      </c>
      <c r="I1" s="1" t="s">
        <v>8</v>
      </c>
    </row>
    <row r="2">
      <c r="A2" s="2">
        <v>1001.0</v>
      </c>
      <c r="B2" s="3">
        <v>45658.0</v>
      </c>
      <c r="C2" s="2" t="s">
        <v>9</v>
      </c>
      <c r="D2" s="2" t="s">
        <v>10</v>
      </c>
      <c r="E2" s="2">
        <v>2129626.0</v>
      </c>
      <c r="F2" s="2">
        <v>0.0</v>
      </c>
      <c r="G2" s="2">
        <v>0.0</v>
      </c>
      <c r="H2" s="2" t="s">
        <v>11</v>
      </c>
      <c r="I2" s="2" t="s">
        <v>12</v>
      </c>
    </row>
    <row r="3">
      <c r="A3" s="2">
        <v>1002.0</v>
      </c>
      <c r="B3" s="3">
        <v>45689.0</v>
      </c>
      <c r="C3" s="2" t="s">
        <v>13</v>
      </c>
      <c r="D3" s="2" t="s">
        <v>14</v>
      </c>
      <c r="E3" s="2">
        <v>1511774.0</v>
      </c>
      <c r="F3" s="2">
        <v>1.0</v>
      </c>
      <c r="G3" s="2">
        <v>250000.0</v>
      </c>
      <c r="H3" s="2" t="s">
        <v>15</v>
      </c>
      <c r="I3" s="2" t="s">
        <v>12</v>
      </c>
    </row>
    <row r="4">
      <c r="A4" s="2">
        <v>1003.0</v>
      </c>
      <c r="B4" s="3">
        <v>45717.0</v>
      </c>
      <c r="C4" s="2" t="s">
        <v>16</v>
      </c>
      <c r="D4" s="2" t="s">
        <v>17</v>
      </c>
      <c r="E4" s="2">
        <v>2441093.0</v>
      </c>
      <c r="F4" s="2">
        <v>1.0</v>
      </c>
      <c r="G4" s="2">
        <v>200000.0</v>
      </c>
      <c r="H4" s="2" t="s">
        <v>11</v>
      </c>
      <c r="I4" s="2" t="s">
        <v>18</v>
      </c>
    </row>
    <row r="5">
      <c r="A5" s="2">
        <v>1004.0</v>
      </c>
      <c r="B5" s="3">
        <v>45748.0</v>
      </c>
      <c r="C5" s="2" t="s">
        <v>13</v>
      </c>
      <c r="D5" s="2" t="s">
        <v>19</v>
      </c>
      <c r="E5" s="2">
        <v>1161079.0</v>
      </c>
      <c r="F5" s="2">
        <v>1.0</v>
      </c>
      <c r="G5" s="2">
        <v>150000.0</v>
      </c>
      <c r="H5" s="2" t="s">
        <v>15</v>
      </c>
      <c r="I5" s="2" t="s">
        <v>20</v>
      </c>
    </row>
    <row r="6">
      <c r="A6" s="2">
        <v>1005.0</v>
      </c>
      <c r="B6" s="3">
        <v>45778.0</v>
      </c>
      <c r="C6" s="2" t="s">
        <v>13</v>
      </c>
      <c r="D6" s="2" t="s">
        <v>19</v>
      </c>
      <c r="E6" s="2">
        <v>1068452.0</v>
      </c>
      <c r="F6" s="2">
        <v>1.0</v>
      </c>
      <c r="G6" s="2">
        <v>150000.0</v>
      </c>
      <c r="H6" s="2" t="s">
        <v>15</v>
      </c>
      <c r="I6" s="2" t="s">
        <v>12</v>
      </c>
    </row>
    <row r="7">
      <c r="A7" s="2">
        <v>1006.0</v>
      </c>
      <c r="B7" s="3">
        <v>45809.0</v>
      </c>
      <c r="C7" s="2" t="s">
        <v>21</v>
      </c>
      <c r="D7" s="2" t="s">
        <v>14</v>
      </c>
      <c r="E7" s="2">
        <v>806081.0</v>
      </c>
      <c r="F7" s="2">
        <v>1.0</v>
      </c>
      <c r="G7" s="2">
        <v>200000.0</v>
      </c>
      <c r="H7" s="2" t="s">
        <v>15</v>
      </c>
      <c r="I7" s="2" t="s">
        <v>12</v>
      </c>
    </row>
    <row r="8">
      <c r="A8" s="2">
        <v>1007.0</v>
      </c>
      <c r="B8" s="3">
        <v>45839.0</v>
      </c>
      <c r="C8" s="2" t="s">
        <v>16</v>
      </c>
      <c r="D8" s="2" t="s">
        <v>19</v>
      </c>
      <c r="E8" s="2">
        <v>1683237.0</v>
      </c>
      <c r="F8" s="2">
        <v>1.0</v>
      </c>
      <c r="G8" s="2">
        <v>150000.0</v>
      </c>
      <c r="H8" s="2" t="s">
        <v>15</v>
      </c>
      <c r="I8" s="2" t="s">
        <v>18</v>
      </c>
    </row>
    <row r="9">
      <c r="A9" s="2">
        <v>1008.0</v>
      </c>
      <c r="B9" s="3">
        <v>45870.0</v>
      </c>
      <c r="C9" s="2" t="s">
        <v>16</v>
      </c>
      <c r="D9" s="2" t="s">
        <v>17</v>
      </c>
      <c r="E9" s="2">
        <v>2361909.0</v>
      </c>
      <c r="F9" s="2">
        <v>0.0</v>
      </c>
      <c r="G9" s="2">
        <v>0.0</v>
      </c>
      <c r="H9" s="2" t="s">
        <v>15</v>
      </c>
      <c r="I9" s="2" t="s">
        <v>12</v>
      </c>
    </row>
    <row r="10">
      <c r="A10" s="2">
        <v>1009.0</v>
      </c>
      <c r="B10" s="3">
        <v>45901.0</v>
      </c>
      <c r="C10" s="2" t="s">
        <v>16</v>
      </c>
      <c r="D10" s="2" t="s">
        <v>14</v>
      </c>
      <c r="E10" s="2">
        <v>1258986.0</v>
      </c>
      <c r="F10" s="2">
        <v>1.0</v>
      </c>
      <c r="G10" s="2">
        <v>0.0</v>
      </c>
      <c r="H10" s="2" t="s">
        <v>15</v>
      </c>
      <c r="I10" s="2" t="s">
        <v>20</v>
      </c>
    </row>
    <row r="11">
      <c r="A11" s="2">
        <v>1010.0</v>
      </c>
      <c r="B11" s="3">
        <v>45931.0</v>
      </c>
      <c r="C11" s="2" t="s">
        <v>13</v>
      </c>
      <c r="D11" s="2" t="s">
        <v>17</v>
      </c>
      <c r="E11" s="2">
        <v>810078.0</v>
      </c>
      <c r="F11" s="2">
        <v>0.0</v>
      </c>
      <c r="G11" s="2">
        <v>0.0</v>
      </c>
      <c r="H11" s="2" t="s">
        <v>15</v>
      </c>
      <c r="I11" s="2" t="s">
        <v>18</v>
      </c>
    </row>
    <row r="12">
      <c r="A12" s="2">
        <v>1011.0</v>
      </c>
      <c r="B12" s="3">
        <v>45962.0</v>
      </c>
      <c r="C12" s="2" t="s">
        <v>9</v>
      </c>
      <c r="D12" s="2" t="s">
        <v>14</v>
      </c>
      <c r="E12" s="2">
        <v>722671.0</v>
      </c>
      <c r="F12" s="2">
        <v>0.0</v>
      </c>
      <c r="G12" s="2">
        <v>0.0</v>
      </c>
      <c r="H12" s="2" t="s">
        <v>15</v>
      </c>
      <c r="I12" s="2" t="s">
        <v>12</v>
      </c>
    </row>
    <row r="13">
      <c r="A13" s="2">
        <v>1012.0</v>
      </c>
      <c r="B13" s="3">
        <v>45992.0</v>
      </c>
      <c r="C13" s="2" t="s">
        <v>16</v>
      </c>
      <c r="D13" s="2" t="s">
        <v>14</v>
      </c>
      <c r="E13" s="2">
        <v>2166976.0</v>
      </c>
      <c r="F13" s="2">
        <v>1.0</v>
      </c>
      <c r="G13" s="2">
        <v>0.0</v>
      </c>
      <c r="H13" s="2" t="s">
        <v>15</v>
      </c>
      <c r="I13" s="2" t="s">
        <v>18</v>
      </c>
    </row>
    <row r="14">
      <c r="A14" s="2">
        <v>1013.0</v>
      </c>
      <c r="B14" s="2" t="s">
        <v>22</v>
      </c>
      <c r="C14" s="2" t="s">
        <v>13</v>
      </c>
      <c r="D14" s="2" t="s">
        <v>10</v>
      </c>
      <c r="E14" s="2">
        <v>2104104.0</v>
      </c>
      <c r="F14" s="2">
        <v>0.0</v>
      </c>
      <c r="G14" s="2">
        <v>0.0</v>
      </c>
      <c r="H14" s="2" t="s">
        <v>15</v>
      </c>
      <c r="I14" s="2" t="s">
        <v>12</v>
      </c>
    </row>
    <row r="15">
      <c r="A15" s="2">
        <v>1014.0</v>
      </c>
      <c r="B15" s="2" t="s">
        <v>23</v>
      </c>
      <c r="C15" s="2" t="s">
        <v>21</v>
      </c>
      <c r="D15" s="2" t="s">
        <v>17</v>
      </c>
      <c r="E15" s="2">
        <v>2359066.0</v>
      </c>
      <c r="F15" s="2">
        <v>1.0</v>
      </c>
      <c r="G15" s="2">
        <v>250000.0</v>
      </c>
      <c r="H15" s="2" t="s">
        <v>15</v>
      </c>
      <c r="I15" s="2" t="s">
        <v>12</v>
      </c>
    </row>
    <row r="16">
      <c r="A16" s="2">
        <v>1015.0</v>
      </c>
      <c r="B16" s="2" t="s">
        <v>24</v>
      </c>
      <c r="C16" s="2" t="s">
        <v>9</v>
      </c>
      <c r="D16" s="2" t="s">
        <v>19</v>
      </c>
      <c r="E16" s="2">
        <v>751663.0</v>
      </c>
      <c r="F16" s="2">
        <v>1.0</v>
      </c>
      <c r="G16" s="2">
        <v>250000.0</v>
      </c>
      <c r="H16" s="2" t="s">
        <v>15</v>
      </c>
      <c r="I16" s="2" t="s">
        <v>12</v>
      </c>
    </row>
    <row r="17">
      <c r="A17" s="2">
        <v>1016.0</v>
      </c>
      <c r="B17" s="2" t="s">
        <v>25</v>
      </c>
      <c r="C17" s="2" t="s">
        <v>21</v>
      </c>
      <c r="D17" s="2" t="s">
        <v>19</v>
      </c>
      <c r="E17" s="2">
        <v>1764284.0</v>
      </c>
      <c r="F17" s="2">
        <v>1.0</v>
      </c>
      <c r="G17" s="2">
        <v>250000.0</v>
      </c>
      <c r="H17" s="2" t="s">
        <v>11</v>
      </c>
      <c r="I17" s="2" t="s">
        <v>20</v>
      </c>
    </row>
    <row r="18">
      <c r="A18" s="2">
        <v>1017.0</v>
      </c>
      <c r="B18" s="2" t="s">
        <v>26</v>
      </c>
      <c r="C18" s="2" t="s">
        <v>9</v>
      </c>
      <c r="D18" s="2" t="s">
        <v>17</v>
      </c>
      <c r="E18" s="2">
        <v>1011955.0</v>
      </c>
      <c r="F18" s="2">
        <v>0.0</v>
      </c>
      <c r="G18" s="2">
        <v>0.0</v>
      </c>
      <c r="H18" s="2" t="s">
        <v>15</v>
      </c>
      <c r="I18" s="2" t="s">
        <v>20</v>
      </c>
    </row>
    <row r="19">
      <c r="A19" s="2">
        <v>1018.0</v>
      </c>
      <c r="B19" s="2" t="s">
        <v>27</v>
      </c>
      <c r="C19" s="2" t="s">
        <v>13</v>
      </c>
      <c r="D19" s="2" t="s">
        <v>19</v>
      </c>
      <c r="E19" s="2">
        <v>1882459.0</v>
      </c>
      <c r="F19" s="2">
        <v>0.0</v>
      </c>
      <c r="G19" s="2">
        <v>0.0</v>
      </c>
      <c r="H19" s="2" t="s">
        <v>11</v>
      </c>
      <c r="I19" s="2" t="s">
        <v>18</v>
      </c>
    </row>
    <row r="20">
      <c r="A20" s="2">
        <v>1019.0</v>
      </c>
      <c r="B20" s="2" t="s">
        <v>28</v>
      </c>
      <c r="C20" s="2" t="s">
        <v>29</v>
      </c>
      <c r="D20" s="2" t="s">
        <v>19</v>
      </c>
      <c r="E20" s="2">
        <v>2066970.0</v>
      </c>
      <c r="F20" s="2">
        <v>1.0</v>
      </c>
      <c r="G20" s="2">
        <v>0.0</v>
      </c>
      <c r="H20" s="2" t="s">
        <v>15</v>
      </c>
      <c r="I20" s="2" t="s">
        <v>12</v>
      </c>
    </row>
    <row r="21">
      <c r="A21" s="2">
        <v>1020.0</v>
      </c>
      <c r="B21" s="2" t="s">
        <v>30</v>
      </c>
      <c r="C21" s="2" t="s">
        <v>9</v>
      </c>
      <c r="D21" s="2" t="s">
        <v>17</v>
      </c>
      <c r="E21" s="2">
        <v>812547.0</v>
      </c>
      <c r="F21" s="2">
        <v>1.0</v>
      </c>
      <c r="G21" s="2">
        <v>250000.0</v>
      </c>
      <c r="H21" s="2" t="s">
        <v>15</v>
      </c>
      <c r="I21" s="2" t="s">
        <v>12</v>
      </c>
    </row>
    <row r="22">
      <c r="A22" s="2">
        <v>1021.0</v>
      </c>
      <c r="B22" s="2" t="s">
        <v>31</v>
      </c>
      <c r="C22" s="2" t="s">
        <v>21</v>
      </c>
      <c r="D22" s="2" t="s">
        <v>14</v>
      </c>
      <c r="E22" s="2">
        <v>1610681.0</v>
      </c>
      <c r="F22" s="2">
        <v>1.0</v>
      </c>
      <c r="G22" s="2">
        <v>250000.0</v>
      </c>
      <c r="H22" s="2" t="s">
        <v>15</v>
      </c>
      <c r="I22" s="2" t="s">
        <v>20</v>
      </c>
    </row>
    <row r="23">
      <c r="A23" s="2">
        <v>1022.0</v>
      </c>
      <c r="B23" s="2" t="s">
        <v>32</v>
      </c>
      <c r="C23" s="2" t="s">
        <v>13</v>
      </c>
      <c r="D23" s="2" t="s">
        <v>17</v>
      </c>
      <c r="E23" s="2">
        <v>2307618.0</v>
      </c>
      <c r="F23" s="2">
        <v>1.0</v>
      </c>
      <c r="G23" s="2">
        <v>250000.0</v>
      </c>
      <c r="H23" s="2" t="s">
        <v>15</v>
      </c>
      <c r="I23" s="2" t="s">
        <v>12</v>
      </c>
    </row>
    <row r="24">
      <c r="A24" s="2">
        <v>1023.0</v>
      </c>
      <c r="B24" s="2" t="s">
        <v>33</v>
      </c>
      <c r="C24" s="2" t="s">
        <v>9</v>
      </c>
      <c r="D24" s="2" t="s">
        <v>14</v>
      </c>
      <c r="E24" s="2">
        <v>2499678.0</v>
      </c>
      <c r="F24" s="2">
        <v>1.0</v>
      </c>
      <c r="G24" s="2">
        <v>200000.0</v>
      </c>
      <c r="H24" s="2" t="s">
        <v>15</v>
      </c>
      <c r="I24" s="2" t="s">
        <v>20</v>
      </c>
    </row>
    <row r="25">
      <c r="A25" s="2">
        <v>1024.0</v>
      </c>
      <c r="B25" s="2" t="s">
        <v>34</v>
      </c>
      <c r="C25" s="2" t="s">
        <v>29</v>
      </c>
      <c r="D25" s="2" t="s">
        <v>19</v>
      </c>
      <c r="E25" s="2">
        <v>842483.0</v>
      </c>
      <c r="F25" s="2">
        <v>0.0</v>
      </c>
      <c r="G25" s="2">
        <v>0.0</v>
      </c>
      <c r="H25" s="2" t="s">
        <v>15</v>
      </c>
      <c r="I25" s="2" t="s">
        <v>12</v>
      </c>
    </row>
    <row r="26">
      <c r="A26" s="2">
        <v>1025.0</v>
      </c>
      <c r="B26" s="2" t="s">
        <v>35</v>
      </c>
      <c r="C26" s="2" t="s">
        <v>29</v>
      </c>
      <c r="D26" s="2" t="s">
        <v>19</v>
      </c>
      <c r="E26" s="2">
        <v>1358271.0</v>
      </c>
      <c r="F26" s="2">
        <v>0.0</v>
      </c>
      <c r="G26" s="2">
        <v>0.0</v>
      </c>
      <c r="H26" s="2" t="s">
        <v>15</v>
      </c>
      <c r="I26" s="2" t="s">
        <v>18</v>
      </c>
    </row>
    <row r="27">
      <c r="A27" s="2">
        <v>1026.0</v>
      </c>
      <c r="B27" s="2" t="s">
        <v>36</v>
      </c>
      <c r="C27" s="2" t="s">
        <v>16</v>
      </c>
      <c r="D27" s="2" t="s">
        <v>19</v>
      </c>
      <c r="E27" s="2">
        <v>914835.0</v>
      </c>
      <c r="F27" s="2">
        <v>1.0</v>
      </c>
      <c r="G27" s="2">
        <v>250000.0</v>
      </c>
      <c r="H27" s="2" t="s">
        <v>15</v>
      </c>
      <c r="I27" s="2" t="s">
        <v>12</v>
      </c>
    </row>
    <row r="28">
      <c r="A28" s="2">
        <v>1027.0</v>
      </c>
      <c r="B28" s="2" t="s">
        <v>37</v>
      </c>
      <c r="C28" s="2" t="s">
        <v>16</v>
      </c>
      <c r="D28" s="2" t="s">
        <v>10</v>
      </c>
      <c r="E28" s="2">
        <v>1101896.0</v>
      </c>
      <c r="F28" s="2">
        <v>0.0</v>
      </c>
      <c r="G28" s="2">
        <v>0.0</v>
      </c>
      <c r="H28" s="2" t="s">
        <v>15</v>
      </c>
      <c r="I28" s="2" t="s">
        <v>12</v>
      </c>
    </row>
    <row r="29">
      <c r="A29" s="2">
        <v>1028.0</v>
      </c>
      <c r="B29" s="2" t="s">
        <v>38</v>
      </c>
      <c r="C29" s="2" t="s">
        <v>21</v>
      </c>
      <c r="D29" s="2" t="s">
        <v>14</v>
      </c>
      <c r="E29" s="2">
        <v>784896.0</v>
      </c>
      <c r="F29" s="2">
        <v>0.0</v>
      </c>
      <c r="G29" s="2">
        <v>0.0</v>
      </c>
      <c r="H29" s="2" t="s">
        <v>11</v>
      </c>
      <c r="I29" s="2" t="s">
        <v>20</v>
      </c>
    </row>
    <row r="30">
      <c r="A30" s="2">
        <v>1029.0</v>
      </c>
      <c r="B30" s="2" t="s">
        <v>39</v>
      </c>
      <c r="C30" s="2" t="s">
        <v>9</v>
      </c>
      <c r="D30" s="2" t="s">
        <v>10</v>
      </c>
      <c r="E30" s="2">
        <v>1177095.0</v>
      </c>
      <c r="F30" s="2">
        <v>1.0</v>
      </c>
      <c r="G30" s="2">
        <v>250000.0</v>
      </c>
      <c r="H30" s="2" t="s">
        <v>15</v>
      </c>
      <c r="I30" s="2" t="s">
        <v>12</v>
      </c>
    </row>
    <row r="31">
      <c r="A31" s="2">
        <v>1030.0</v>
      </c>
      <c r="B31" s="2" t="s">
        <v>40</v>
      </c>
      <c r="C31" s="2" t="s">
        <v>9</v>
      </c>
      <c r="D31" s="2" t="s">
        <v>10</v>
      </c>
      <c r="E31" s="2">
        <v>771295.0</v>
      </c>
      <c r="F31" s="2">
        <v>1.0</v>
      </c>
      <c r="G31" s="2">
        <v>0.0</v>
      </c>
      <c r="H31" s="2" t="s">
        <v>11</v>
      </c>
      <c r="I31" s="2" t="s">
        <v>12</v>
      </c>
    </row>
    <row r="32">
      <c r="A32" s="2">
        <v>1031.0</v>
      </c>
      <c r="B32" s="2" t="s">
        <v>41</v>
      </c>
      <c r="C32" s="2" t="s">
        <v>16</v>
      </c>
      <c r="D32" s="2" t="s">
        <v>17</v>
      </c>
      <c r="E32" s="2">
        <v>1443974.0</v>
      </c>
      <c r="F32" s="2">
        <v>1.0</v>
      </c>
      <c r="G32" s="2">
        <v>0.0</v>
      </c>
      <c r="H32" s="2" t="s">
        <v>15</v>
      </c>
      <c r="I32" s="2" t="s">
        <v>20</v>
      </c>
    </row>
    <row r="33">
      <c r="A33" s="2">
        <v>1032.0</v>
      </c>
      <c r="B33" s="3">
        <v>45659.0</v>
      </c>
      <c r="C33" s="2" t="s">
        <v>9</v>
      </c>
      <c r="D33" s="2" t="s">
        <v>10</v>
      </c>
      <c r="E33" s="2">
        <v>1587121.0</v>
      </c>
      <c r="F33" s="2">
        <v>1.0</v>
      </c>
      <c r="G33" s="2">
        <v>0.0</v>
      </c>
      <c r="H33" s="2" t="s">
        <v>15</v>
      </c>
      <c r="I33" s="2" t="s">
        <v>18</v>
      </c>
    </row>
    <row r="34">
      <c r="A34" s="2">
        <v>1033.0</v>
      </c>
      <c r="B34" s="3">
        <v>45690.0</v>
      </c>
      <c r="C34" s="2" t="s">
        <v>9</v>
      </c>
      <c r="D34" s="2" t="s">
        <v>17</v>
      </c>
      <c r="E34" s="2">
        <v>2021831.0</v>
      </c>
      <c r="F34" s="2">
        <v>0.0</v>
      </c>
      <c r="G34" s="2">
        <v>0.0</v>
      </c>
      <c r="H34" s="2" t="s">
        <v>11</v>
      </c>
      <c r="I34" s="2" t="s">
        <v>18</v>
      </c>
    </row>
    <row r="35">
      <c r="A35" s="2">
        <v>1034.0</v>
      </c>
      <c r="B35" s="3">
        <v>45718.0</v>
      </c>
      <c r="C35" s="2" t="s">
        <v>29</v>
      </c>
      <c r="D35" s="2" t="s">
        <v>17</v>
      </c>
      <c r="E35" s="2">
        <v>2048224.0</v>
      </c>
      <c r="F35" s="2">
        <v>1.0</v>
      </c>
      <c r="G35" s="2">
        <v>200000.0</v>
      </c>
      <c r="H35" s="2" t="s">
        <v>11</v>
      </c>
      <c r="I35" s="2" t="s">
        <v>20</v>
      </c>
    </row>
    <row r="36">
      <c r="A36" s="2">
        <v>1035.0</v>
      </c>
      <c r="B36" s="3">
        <v>45749.0</v>
      </c>
      <c r="C36" s="2" t="s">
        <v>16</v>
      </c>
      <c r="D36" s="2" t="s">
        <v>10</v>
      </c>
      <c r="E36" s="2">
        <v>2405738.0</v>
      </c>
      <c r="F36" s="2">
        <v>1.0</v>
      </c>
      <c r="G36" s="2">
        <v>0.0</v>
      </c>
      <c r="H36" s="2" t="s">
        <v>15</v>
      </c>
      <c r="I36" s="2" t="s">
        <v>20</v>
      </c>
    </row>
    <row r="37">
      <c r="A37" s="2">
        <v>1036.0</v>
      </c>
      <c r="B37" s="3">
        <v>45779.0</v>
      </c>
      <c r="C37" s="2" t="s">
        <v>13</v>
      </c>
      <c r="D37" s="2" t="s">
        <v>14</v>
      </c>
      <c r="E37" s="2">
        <v>1756731.0</v>
      </c>
      <c r="F37" s="2">
        <v>0.0</v>
      </c>
      <c r="G37" s="2">
        <v>0.0</v>
      </c>
      <c r="H37" s="2" t="s">
        <v>15</v>
      </c>
      <c r="I37" s="2" t="s">
        <v>20</v>
      </c>
    </row>
    <row r="38">
      <c r="A38" s="2">
        <v>1037.0</v>
      </c>
      <c r="B38" s="3">
        <v>45810.0</v>
      </c>
      <c r="C38" s="2" t="s">
        <v>16</v>
      </c>
      <c r="D38" s="2" t="s">
        <v>14</v>
      </c>
      <c r="E38" s="2">
        <v>2215448.0</v>
      </c>
      <c r="F38" s="2">
        <v>1.0</v>
      </c>
      <c r="G38" s="2">
        <v>200000.0</v>
      </c>
      <c r="H38" s="2" t="s">
        <v>15</v>
      </c>
      <c r="I38" s="2" t="s">
        <v>20</v>
      </c>
    </row>
    <row r="39">
      <c r="A39" s="2">
        <v>1038.0</v>
      </c>
      <c r="B39" s="3">
        <v>45840.0</v>
      </c>
      <c r="C39" s="2" t="s">
        <v>13</v>
      </c>
      <c r="D39" s="2" t="s">
        <v>14</v>
      </c>
      <c r="E39" s="2">
        <v>1525816.0</v>
      </c>
      <c r="F39" s="2">
        <v>1.0</v>
      </c>
      <c r="G39" s="2">
        <v>0.0</v>
      </c>
      <c r="H39" s="2" t="s">
        <v>15</v>
      </c>
      <c r="I39" s="2" t="s">
        <v>20</v>
      </c>
    </row>
    <row r="40">
      <c r="A40" s="2">
        <v>1039.0</v>
      </c>
      <c r="B40" s="3">
        <v>45871.0</v>
      </c>
      <c r="C40" s="2" t="s">
        <v>29</v>
      </c>
      <c r="D40" s="2" t="s">
        <v>14</v>
      </c>
      <c r="E40" s="2">
        <v>1074705.0</v>
      </c>
      <c r="F40" s="2">
        <v>1.0</v>
      </c>
      <c r="G40" s="2">
        <v>0.0</v>
      </c>
      <c r="H40" s="2" t="s">
        <v>15</v>
      </c>
      <c r="I40" s="2" t="s">
        <v>18</v>
      </c>
    </row>
    <row r="41">
      <c r="A41" s="2">
        <v>1040.0</v>
      </c>
      <c r="B41" s="3">
        <v>45902.0</v>
      </c>
      <c r="C41" s="2" t="s">
        <v>21</v>
      </c>
      <c r="D41" s="2" t="s">
        <v>14</v>
      </c>
      <c r="E41" s="2">
        <v>2320118.0</v>
      </c>
      <c r="F41" s="2">
        <v>1.0</v>
      </c>
      <c r="G41" s="2">
        <v>250000.0</v>
      </c>
      <c r="H41" s="2" t="s">
        <v>15</v>
      </c>
      <c r="I41" s="2" t="s">
        <v>18</v>
      </c>
    </row>
    <row r="42">
      <c r="A42" s="2">
        <v>1041.0</v>
      </c>
      <c r="B42" s="3">
        <v>45932.0</v>
      </c>
      <c r="C42" s="2" t="s">
        <v>9</v>
      </c>
      <c r="D42" s="2" t="s">
        <v>10</v>
      </c>
      <c r="E42" s="2">
        <v>2358845.0</v>
      </c>
      <c r="F42" s="2">
        <v>1.0</v>
      </c>
      <c r="G42" s="2">
        <v>150000.0</v>
      </c>
      <c r="H42" s="2" t="s">
        <v>15</v>
      </c>
      <c r="I42" s="2" t="s">
        <v>20</v>
      </c>
    </row>
    <row r="43">
      <c r="A43" s="2">
        <v>1042.0</v>
      </c>
      <c r="B43" s="3">
        <v>45963.0</v>
      </c>
      <c r="C43" s="2" t="s">
        <v>29</v>
      </c>
      <c r="D43" s="2" t="s">
        <v>10</v>
      </c>
      <c r="E43" s="2">
        <v>1254594.0</v>
      </c>
      <c r="F43" s="2">
        <v>0.0</v>
      </c>
      <c r="G43" s="2">
        <v>0.0</v>
      </c>
      <c r="H43" s="2" t="s">
        <v>15</v>
      </c>
      <c r="I43" s="2" t="s">
        <v>12</v>
      </c>
    </row>
    <row r="44">
      <c r="A44" s="2">
        <v>1043.0</v>
      </c>
      <c r="B44" s="3">
        <v>45993.0</v>
      </c>
      <c r="C44" s="2" t="s">
        <v>9</v>
      </c>
      <c r="D44" s="2" t="s">
        <v>19</v>
      </c>
      <c r="E44" s="2">
        <v>847718.0</v>
      </c>
      <c r="F44" s="2">
        <v>0.0</v>
      </c>
      <c r="G44" s="2">
        <v>0.0</v>
      </c>
      <c r="H44" s="2" t="s">
        <v>11</v>
      </c>
      <c r="I44" s="2" t="s">
        <v>20</v>
      </c>
    </row>
    <row r="45">
      <c r="A45" s="2">
        <v>1044.0</v>
      </c>
      <c r="B45" s="2" t="s">
        <v>42</v>
      </c>
      <c r="C45" s="2" t="s">
        <v>21</v>
      </c>
      <c r="D45" s="2" t="s">
        <v>14</v>
      </c>
      <c r="E45" s="2">
        <v>2057563.0</v>
      </c>
      <c r="F45" s="2">
        <v>1.0</v>
      </c>
      <c r="G45" s="2">
        <v>0.0</v>
      </c>
      <c r="H45" s="2" t="s">
        <v>15</v>
      </c>
      <c r="I45" s="2" t="s">
        <v>12</v>
      </c>
    </row>
    <row r="46">
      <c r="A46" s="2">
        <v>1045.0</v>
      </c>
      <c r="B46" s="2" t="s">
        <v>43</v>
      </c>
      <c r="C46" s="2" t="s">
        <v>21</v>
      </c>
      <c r="D46" s="2" t="s">
        <v>10</v>
      </c>
      <c r="E46" s="2">
        <v>1345263.0</v>
      </c>
      <c r="F46" s="2">
        <v>1.0</v>
      </c>
      <c r="G46" s="2">
        <v>0.0</v>
      </c>
      <c r="H46" s="2" t="s">
        <v>15</v>
      </c>
      <c r="I46" s="2" t="s">
        <v>20</v>
      </c>
    </row>
    <row r="47">
      <c r="A47" s="2">
        <v>1046.0</v>
      </c>
      <c r="B47" s="2" t="s">
        <v>44</v>
      </c>
      <c r="C47" s="2" t="s">
        <v>29</v>
      </c>
      <c r="D47" s="2" t="s">
        <v>19</v>
      </c>
      <c r="E47" s="2">
        <v>2107321.0</v>
      </c>
      <c r="F47" s="2">
        <v>1.0</v>
      </c>
      <c r="G47" s="2">
        <v>250000.0</v>
      </c>
      <c r="H47" s="2" t="s">
        <v>15</v>
      </c>
      <c r="I47" s="2" t="s">
        <v>20</v>
      </c>
    </row>
    <row r="48">
      <c r="A48" s="2">
        <v>1047.0</v>
      </c>
      <c r="B48" s="2" t="s">
        <v>45</v>
      </c>
      <c r="C48" s="2" t="s">
        <v>21</v>
      </c>
      <c r="D48" s="2" t="s">
        <v>14</v>
      </c>
      <c r="E48" s="2">
        <v>1708239.0</v>
      </c>
      <c r="F48" s="2">
        <v>1.0</v>
      </c>
      <c r="G48" s="2">
        <v>200000.0</v>
      </c>
      <c r="H48" s="2" t="s">
        <v>15</v>
      </c>
      <c r="I48" s="2" t="s">
        <v>18</v>
      </c>
    </row>
    <row r="49">
      <c r="A49" s="2">
        <v>1048.0</v>
      </c>
      <c r="B49" s="2" t="s">
        <v>46</v>
      </c>
      <c r="C49" s="2" t="s">
        <v>13</v>
      </c>
      <c r="D49" s="2" t="s">
        <v>17</v>
      </c>
      <c r="E49" s="2">
        <v>807512.0</v>
      </c>
      <c r="F49" s="2">
        <v>1.0</v>
      </c>
      <c r="G49" s="2">
        <v>150000.0</v>
      </c>
      <c r="H49" s="2" t="s">
        <v>15</v>
      </c>
      <c r="I49" s="2" t="s">
        <v>12</v>
      </c>
    </row>
    <row r="50">
      <c r="A50" s="2">
        <v>1049.0</v>
      </c>
      <c r="B50" s="2" t="s">
        <v>47</v>
      </c>
      <c r="C50" s="2" t="s">
        <v>21</v>
      </c>
      <c r="D50" s="2" t="s">
        <v>19</v>
      </c>
      <c r="E50" s="2">
        <v>847443.0</v>
      </c>
      <c r="F50" s="2">
        <v>1.0</v>
      </c>
      <c r="G50" s="2">
        <v>150000.0</v>
      </c>
      <c r="H50" s="2" t="s">
        <v>15</v>
      </c>
      <c r="I50" s="2" t="s">
        <v>12</v>
      </c>
    </row>
    <row r="51">
      <c r="A51" s="2">
        <v>1050.0</v>
      </c>
      <c r="B51" s="2" t="s">
        <v>48</v>
      </c>
      <c r="C51" s="2" t="s">
        <v>9</v>
      </c>
      <c r="D51" s="2" t="s">
        <v>10</v>
      </c>
      <c r="E51" s="2">
        <v>2219163.0</v>
      </c>
      <c r="F51" s="2">
        <v>1.0</v>
      </c>
      <c r="G51" s="2">
        <v>0.0</v>
      </c>
      <c r="H51" s="2" t="s">
        <v>11</v>
      </c>
      <c r="I51" s="2" t="s">
        <v>18</v>
      </c>
    </row>
    <row r="52">
      <c r="A52" s="2">
        <v>1051.0</v>
      </c>
      <c r="B52" s="2" t="s">
        <v>49</v>
      </c>
      <c r="C52" s="2" t="s">
        <v>9</v>
      </c>
      <c r="D52" s="2" t="s">
        <v>17</v>
      </c>
      <c r="E52" s="2">
        <v>1073616.0</v>
      </c>
      <c r="F52" s="2">
        <v>1.0</v>
      </c>
      <c r="G52" s="2">
        <v>200000.0</v>
      </c>
      <c r="H52" s="2" t="s">
        <v>15</v>
      </c>
      <c r="I52" s="2" t="s">
        <v>18</v>
      </c>
    </row>
    <row r="53">
      <c r="A53" s="2">
        <v>1052.0</v>
      </c>
      <c r="B53" s="2" t="s">
        <v>50</v>
      </c>
      <c r="C53" s="2" t="s">
        <v>9</v>
      </c>
      <c r="D53" s="2" t="s">
        <v>17</v>
      </c>
      <c r="E53" s="2">
        <v>1357409.0</v>
      </c>
      <c r="F53" s="2">
        <v>1.0</v>
      </c>
      <c r="G53" s="2">
        <v>150000.0</v>
      </c>
      <c r="H53" s="2" t="s">
        <v>11</v>
      </c>
      <c r="I53" s="2" t="s">
        <v>18</v>
      </c>
    </row>
    <row r="54">
      <c r="A54" s="2">
        <v>1053.0</v>
      </c>
      <c r="B54" s="2" t="s">
        <v>51</v>
      </c>
      <c r="C54" s="2" t="s">
        <v>9</v>
      </c>
      <c r="D54" s="2" t="s">
        <v>17</v>
      </c>
      <c r="E54" s="2">
        <v>1386976.0</v>
      </c>
      <c r="F54" s="2">
        <v>1.0</v>
      </c>
      <c r="G54" s="2">
        <v>200000.0</v>
      </c>
      <c r="H54" s="2" t="s">
        <v>15</v>
      </c>
      <c r="I54" s="2" t="s">
        <v>18</v>
      </c>
    </row>
    <row r="55">
      <c r="A55" s="2">
        <v>1054.0</v>
      </c>
      <c r="B55" s="2" t="s">
        <v>52</v>
      </c>
      <c r="C55" s="2" t="s">
        <v>13</v>
      </c>
      <c r="D55" s="2" t="s">
        <v>19</v>
      </c>
      <c r="E55" s="2">
        <v>2114447.0</v>
      </c>
      <c r="F55" s="2">
        <v>1.0</v>
      </c>
      <c r="G55" s="2">
        <v>200000.0</v>
      </c>
      <c r="H55" s="2" t="s">
        <v>15</v>
      </c>
      <c r="I55" s="2" t="s">
        <v>12</v>
      </c>
    </row>
    <row r="56">
      <c r="A56" s="2">
        <v>1055.0</v>
      </c>
      <c r="B56" s="2" t="s">
        <v>53</v>
      </c>
      <c r="C56" s="2" t="s">
        <v>16</v>
      </c>
      <c r="D56" s="2" t="s">
        <v>10</v>
      </c>
      <c r="E56" s="2">
        <v>1075037.0</v>
      </c>
      <c r="F56" s="2">
        <v>0.0</v>
      </c>
      <c r="G56" s="2">
        <v>0.0</v>
      </c>
      <c r="H56" s="2" t="s">
        <v>15</v>
      </c>
      <c r="I56" s="2" t="s">
        <v>12</v>
      </c>
    </row>
    <row r="57">
      <c r="A57" s="2">
        <v>1056.0</v>
      </c>
      <c r="B57" s="2" t="s">
        <v>54</v>
      </c>
      <c r="C57" s="2" t="s">
        <v>29</v>
      </c>
      <c r="D57" s="2" t="s">
        <v>17</v>
      </c>
      <c r="E57" s="2">
        <v>1744107.0</v>
      </c>
      <c r="F57" s="2">
        <v>0.0</v>
      </c>
      <c r="G57" s="2">
        <v>0.0</v>
      </c>
      <c r="H57" s="2" t="s">
        <v>15</v>
      </c>
      <c r="I57" s="2" t="s">
        <v>20</v>
      </c>
    </row>
    <row r="58">
      <c r="A58" s="2">
        <v>1057.0</v>
      </c>
      <c r="B58" s="2" t="s">
        <v>55</v>
      </c>
      <c r="C58" s="2" t="s">
        <v>9</v>
      </c>
      <c r="D58" s="2" t="s">
        <v>14</v>
      </c>
      <c r="E58" s="2">
        <v>1507364.0</v>
      </c>
      <c r="F58" s="2">
        <v>0.0</v>
      </c>
      <c r="G58" s="2">
        <v>0.0</v>
      </c>
      <c r="H58" s="2" t="s">
        <v>15</v>
      </c>
      <c r="I58" s="2" t="s">
        <v>20</v>
      </c>
    </row>
    <row r="59">
      <c r="A59" s="2">
        <v>1058.0</v>
      </c>
      <c r="B59" s="2" t="s">
        <v>56</v>
      </c>
      <c r="C59" s="2" t="s">
        <v>21</v>
      </c>
      <c r="D59" s="2" t="s">
        <v>17</v>
      </c>
      <c r="E59" s="2">
        <v>817796.0</v>
      </c>
      <c r="F59" s="2">
        <v>1.0</v>
      </c>
      <c r="G59" s="2">
        <v>0.0</v>
      </c>
      <c r="H59" s="2" t="s">
        <v>15</v>
      </c>
      <c r="I59" s="2" t="s">
        <v>18</v>
      </c>
    </row>
    <row r="60">
      <c r="A60" s="2">
        <v>1059.0</v>
      </c>
      <c r="B60" s="2" t="s">
        <v>57</v>
      </c>
      <c r="C60" s="2" t="s">
        <v>9</v>
      </c>
      <c r="D60" s="2" t="s">
        <v>17</v>
      </c>
      <c r="E60" s="2">
        <v>2040575.0</v>
      </c>
      <c r="F60" s="2">
        <v>0.0</v>
      </c>
      <c r="G60" s="2">
        <v>0.0</v>
      </c>
      <c r="H60" s="2" t="s">
        <v>15</v>
      </c>
      <c r="I60" s="2" t="s">
        <v>18</v>
      </c>
    </row>
    <row r="61">
      <c r="A61" s="2">
        <v>1060.0</v>
      </c>
      <c r="B61" s="3">
        <v>45660.0</v>
      </c>
      <c r="C61" s="2" t="s">
        <v>21</v>
      </c>
      <c r="D61" s="2" t="s">
        <v>19</v>
      </c>
      <c r="E61" s="2">
        <v>1941082.0</v>
      </c>
      <c r="F61" s="2">
        <v>1.0</v>
      </c>
      <c r="G61" s="2">
        <v>150000.0</v>
      </c>
      <c r="H61" s="2" t="s">
        <v>15</v>
      </c>
      <c r="I61" s="2" t="s">
        <v>18</v>
      </c>
    </row>
    <row r="62">
      <c r="A62" s="2">
        <v>1061.0</v>
      </c>
      <c r="B62" s="3">
        <v>45691.0</v>
      </c>
      <c r="C62" s="2" t="s">
        <v>21</v>
      </c>
      <c r="D62" s="2" t="s">
        <v>19</v>
      </c>
      <c r="E62" s="2">
        <v>1690198.0</v>
      </c>
      <c r="F62" s="2">
        <v>1.0</v>
      </c>
      <c r="G62" s="2">
        <v>150000.0</v>
      </c>
      <c r="H62" s="2" t="s">
        <v>15</v>
      </c>
      <c r="I62" s="2" t="s">
        <v>20</v>
      </c>
    </row>
    <row r="63">
      <c r="A63" s="2">
        <v>1062.0</v>
      </c>
      <c r="B63" s="3">
        <v>45719.0</v>
      </c>
      <c r="C63" s="2" t="s">
        <v>9</v>
      </c>
      <c r="D63" s="2" t="s">
        <v>10</v>
      </c>
      <c r="E63" s="2">
        <v>1398376.0</v>
      </c>
      <c r="F63" s="2">
        <v>0.0</v>
      </c>
      <c r="G63" s="2">
        <v>0.0</v>
      </c>
      <c r="H63" s="2" t="s">
        <v>15</v>
      </c>
      <c r="I63" s="2" t="s">
        <v>20</v>
      </c>
    </row>
    <row r="64">
      <c r="A64" s="2">
        <v>1063.0</v>
      </c>
      <c r="B64" s="3">
        <v>45750.0</v>
      </c>
      <c r="C64" s="2" t="s">
        <v>13</v>
      </c>
      <c r="D64" s="2" t="s">
        <v>14</v>
      </c>
      <c r="E64" s="2">
        <v>969544.0</v>
      </c>
      <c r="F64" s="2">
        <v>1.0</v>
      </c>
      <c r="G64" s="2">
        <v>150000.0</v>
      </c>
      <c r="H64" s="2" t="s">
        <v>15</v>
      </c>
      <c r="I64" s="2" t="s">
        <v>20</v>
      </c>
    </row>
    <row r="65">
      <c r="A65" s="2">
        <v>1064.0</v>
      </c>
      <c r="B65" s="3">
        <v>45780.0</v>
      </c>
      <c r="C65" s="2" t="s">
        <v>21</v>
      </c>
      <c r="D65" s="2" t="s">
        <v>19</v>
      </c>
      <c r="E65" s="2">
        <v>1080002.0</v>
      </c>
      <c r="F65" s="2">
        <v>0.0</v>
      </c>
      <c r="G65" s="2">
        <v>0.0</v>
      </c>
      <c r="H65" s="2" t="s">
        <v>11</v>
      </c>
      <c r="I65" s="2" t="s">
        <v>20</v>
      </c>
    </row>
    <row r="66">
      <c r="A66" s="2">
        <v>1065.0</v>
      </c>
      <c r="B66" s="3">
        <v>45811.0</v>
      </c>
      <c r="C66" s="2" t="s">
        <v>21</v>
      </c>
      <c r="D66" s="2" t="s">
        <v>17</v>
      </c>
      <c r="E66" s="2">
        <v>1398002.0</v>
      </c>
      <c r="F66" s="2">
        <v>0.0</v>
      </c>
      <c r="G66" s="2">
        <v>0.0</v>
      </c>
      <c r="H66" s="2" t="s">
        <v>15</v>
      </c>
      <c r="I66" s="2" t="s">
        <v>20</v>
      </c>
    </row>
    <row r="67">
      <c r="A67" s="2">
        <v>1066.0</v>
      </c>
      <c r="B67" s="3">
        <v>45841.0</v>
      </c>
      <c r="C67" s="2" t="s">
        <v>9</v>
      </c>
      <c r="D67" s="2" t="s">
        <v>10</v>
      </c>
      <c r="E67" s="2">
        <v>2288015.0</v>
      </c>
      <c r="F67" s="2">
        <v>1.0</v>
      </c>
      <c r="G67" s="2">
        <v>200000.0</v>
      </c>
      <c r="H67" s="2" t="s">
        <v>11</v>
      </c>
      <c r="I67" s="2" t="s">
        <v>20</v>
      </c>
    </row>
    <row r="68">
      <c r="A68" s="2">
        <v>1067.0</v>
      </c>
      <c r="B68" s="3">
        <v>45872.0</v>
      </c>
      <c r="C68" s="2" t="s">
        <v>21</v>
      </c>
      <c r="D68" s="2" t="s">
        <v>17</v>
      </c>
      <c r="E68" s="2">
        <v>1290978.0</v>
      </c>
      <c r="F68" s="2">
        <v>0.0</v>
      </c>
      <c r="G68" s="2">
        <v>0.0</v>
      </c>
      <c r="H68" s="2" t="s">
        <v>15</v>
      </c>
      <c r="I68" s="2" t="s">
        <v>20</v>
      </c>
    </row>
    <row r="69">
      <c r="A69" s="2">
        <v>1068.0</v>
      </c>
      <c r="B69" s="3">
        <v>45903.0</v>
      </c>
      <c r="C69" s="2" t="s">
        <v>21</v>
      </c>
      <c r="D69" s="2" t="s">
        <v>17</v>
      </c>
      <c r="E69" s="2">
        <v>2277363.0</v>
      </c>
      <c r="F69" s="2">
        <v>0.0</v>
      </c>
      <c r="G69" s="2">
        <v>0.0</v>
      </c>
      <c r="H69" s="2" t="s">
        <v>15</v>
      </c>
      <c r="I69" s="2" t="s">
        <v>18</v>
      </c>
    </row>
    <row r="70">
      <c r="A70" s="2">
        <v>1069.0</v>
      </c>
      <c r="B70" s="3">
        <v>45933.0</v>
      </c>
      <c r="C70" s="2" t="s">
        <v>9</v>
      </c>
      <c r="D70" s="2" t="s">
        <v>19</v>
      </c>
      <c r="E70" s="2">
        <v>2279159.0</v>
      </c>
      <c r="F70" s="2">
        <v>1.0</v>
      </c>
      <c r="G70" s="2">
        <v>0.0</v>
      </c>
      <c r="H70" s="2" t="s">
        <v>15</v>
      </c>
      <c r="I70" s="2" t="s">
        <v>18</v>
      </c>
    </row>
    <row r="71">
      <c r="A71" s="2">
        <v>1070.0</v>
      </c>
      <c r="B71" s="3">
        <v>45964.0</v>
      </c>
      <c r="C71" s="2" t="s">
        <v>9</v>
      </c>
      <c r="D71" s="2" t="s">
        <v>10</v>
      </c>
      <c r="E71" s="2">
        <v>1607317.0</v>
      </c>
      <c r="F71" s="2">
        <v>1.0</v>
      </c>
      <c r="G71" s="2">
        <v>150000.0</v>
      </c>
      <c r="H71" s="2" t="s">
        <v>11</v>
      </c>
      <c r="I71" s="2" t="s">
        <v>18</v>
      </c>
    </row>
    <row r="72">
      <c r="A72" s="2">
        <v>1071.0</v>
      </c>
      <c r="B72" s="3">
        <v>45994.0</v>
      </c>
      <c r="C72" s="2" t="s">
        <v>29</v>
      </c>
      <c r="D72" s="2" t="s">
        <v>14</v>
      </c>
      <c r="E72" s="2">
        <v>1088215.0</v>
      </c>
      <c r="F72" s="2">
        <v>0.0</v>
      </c>
      <c r="G72" s="2">
        <v>0.0</v>
      </c>
      <c r="H72" s="2" t="s">
        <v>15</v>
      </c>
      <c r="I72" s="2" t="s">
        <v>18</v>
      </c>
    </row>
    <row r="73">
      <c r="A73" s="2">
        <v>1072.0</v>
      </c>
      <c r="B73" s="2" t="s">
        <v>58</v>
      </c>
      <c r="C73" s="2" t="s">
        <v>13</v>
      </c>
      <c r="D73" s="2" t="s">
        <v>14</v>
      </c>
      <c r="E73" s="2">
        <v>1021184.0</v>
      </c>
      <c r="F73" s="2">
        <v>1.0</v>
      </c>
      <c r="G73" s="2">
        <v>200000.0</v>
      </c>
      <c r="H73" s="2" t="s">
        <v>15</v>
      </c>
      <c r="I73" s="2" t="s">
        <v>20</v>
      </c>
    </row>
    <row r="74">
      <c r="A74" s="2">
        <v>1073.0</v>
      </c>
      <c r="B74" s="2" t="s">
        <v>59</v>
      </c>
      <c r="C74" s="2" t="s">
        <v>13</v>
      </c>
      <c r="D74" s="2" t="s">
        <v>19</v>
      </c>
      <c r="E74" s="2">
        <v>2171091.0</v>
      </c>
      <c r="F74" s="2">
        <v>0.0</v>
      </c>
      <c r="G74" s="2">
        <v>0.0</v>
      </c>
      <c r="H74" s="2" t="s">
        <v>15</v>
      </c>
      <c r="I74" s="2" t="s">
        <v>12</v>
      </c>
    </row>
    <row r="75">
      <c r="A75" s="2">
        <v>1074.0</v>
      </c>
      <c r="B75" s="2" t="s">
        <v>60</v>
      </c>
      <c r="C75" s="2" t="s">
        <v>21</v>
      </c>
      <c r="D75" s="2" t="s">
        <v>19</v>
      </c>
      <c r="E75" s="2">
        <v>1368234.0</v>
      </c>
      <c r="F75" s="2">
        <v>0.0</v>
      </c>
      <c r="G75" s="2">
        <v>0.0</v>
      </c>
      <c r="H75" s="2" t="s">
        <v>15</v>
      </c>
      <c r="I75" s="2" t="s">
        <v>20</v>
      </c>
    </row>
    <row r="76">
      <c r="A76" s="2">
        <v>1075.0</v>
      </c>
      <c r="B76" s="2" t="s">
        <v>61</v>
      </c>
      <c r="C76" s="2" t="s">
        <v>13</v>
      </c>
      <c r="D76" s="2" t="s">
        <v>10</v>
      </c>
      <c r="E76" s="2">
        <v>1078480.0</v>
      </c>
      <c r="F76" s="2">
        <v>1.0</v>
      </c>
      <c r="G76" s="2">
        <v>250000.0</v>
      </c>
      <c r="H76" s="2" t="s">
        <v>15</v>
      </c>
      <c r="I76" s="2" t="s">
        <v>12</v>
      </c>
    </row>
    <row r="77">
      <c r="A77" s="2">
        <v>1076.0</v>
      </c>
      <c r="B77" s="2" t="s">
        <v>62</v>
      </c>
      <c r="C77" s="2" t="s">
        <v>21</v>
      </c>
      <c r="D77" s="2" t="s">
        <v>14</v>
      </c>
      <c r="E77" s="2">
        <v>732711.0</v>
      </c>
      <c r="F77" s="2">
        <v>1.0</v>
      </c>
      <c r="G77" s="2">
        <v>0.0</v>
      </c>
      <c r="H77" s="2" t="s">
        <v>15</v>
      </c>
      <c r="I77" s="2" t="s">
        <v>18</v>
      </c>
    </row>
    <row r="78">
      <c r="A78" s="2">
        <v>1077.0</v>
      </c>
      <c r="B78" s="2" t="s">
        <v>63</v>
      </c>
      <c r="C78" s="2" t="s">
        <v>29</v>
      </c>
      <c r="D78" s="2" t="s">
        <v>14</v>
      </c>
      <c r="E78" s="2">
        <v>1491971.0</v>
      </c>
      <c r="F78" s="2">
        <v>1.0</v>
      </c>
      <c r="G78" s="2">
        <v>0.0</v>
      </c>
      <c r="H78" s="2" t="s">
        <v>15</v>
      </c>
      <c r="I78" s="2" t="s">
        <v>20</v>
      </c>
    </row>
    <row r="79">
      <c r="A79" s="2">
        <v>1078.0</v>
      </c>
      <c r="B79" s="2" t="s">
        <v>64</v>
      </c>
      <c r="C79" s="2" t="s">
        <v>9</v>
      </c>
      <c r="D79" s="2" t="s">
        <v>14</v>
      </c>
      <c r="E79" s="2">
        <v>1201157.0</v>
      </c>
      <c r="F79" s="2">
        <v>1.0</v>
      </c>
      <c r="G79" s="2">
        <v>0.0</v>
      </c>
      <c r="H79" s="2" t="s">
        <v>15</v>
      </c>
      <c r="I79" s="2" t="s">
        <v>18</v>
      </c>
    </row>
    <row r="80">
      <c r="A80" s="2">
        <v>1079.0</v>
      </c>
      <c r="B80" s="2" t="s">
        <v>65</v>
      </c>
      <c r="C80" s="2" t="s">
        <v>9</v>
      </c>
      <c r="D80" s="2" t="s">
        <v>17</v>
      </c>
      <c r="E80" s="2">
        <v>884423.0</v>
      </c>
      <c r="F80" s="2">
        <v>1.0</v>
      </c>
      <c r="G80" s="2">
        <v>0.0</v>
      </c>
      <c r="H80" s="2" t="s">
        <v>15</v>
      </c>
      <c r="I80" s="2" t="s">
        <v>20</v>
      </c>
    </row>
    <row r="81">
      <c r="A81" s="2">
        <v>1080.0</v>
      </c>
      <c r="B81" s="2" t="s">
        <v>66</v>
      </c>
      <c r="C81" s="2" t="s">
        <v>9</v>
      </c>
      <c r="D81" s="2" t="s">
        <v>14</v>
      </c>
      <c r="E81" s="2">
        <v>1216349.0</v>
      </c>
      <c r="F81" s="2">
        <v>1.0</v>
      </c>
      <c r="G81" s="2">
        <v>250000.0</v>
      </c>
      <c r="H81" s="2" t="s">
        <v>11</v>
      </c>
      <c r="I81" s="2" t="s">
        <v>18</v>
      </c>
    </row>
    <row r="82">
      <c r="A82" s="2">
        <v>1081.0</v>
      </c>
      <c r="B82" s="2" t="s">
        <v>67</v>
      </c>
      <c r="C82" s="2" t="s">
        <v>13</v>
      </c>
      <c r="D82" s="2" t="s">
        <v>17</v>
      </c>
      <c r="E82" s="2">
        <v>2452290.0</v>
      </c>
      <c r="F82" s="2">
        <v>0.0</v>
      </c>
      <c r="G82" s="2">
        <v>0.0</v>
      </c>
      <c r="H82" s="2" t="s">
        <v>15</v>
      </c>
      <c r="I82" s="2" t="s">
        <v>12</v>
      </c>
    </row>
    <row r="83">
      <c r="A83" s="2">
        <v>1082.0</v>
      </c>
      <c r="B83" s="2" t="s">
        <v>68</v>
      </c>
      <c r="C83" s="2" t="s">
        <v>29</v>
      </c>
      <c r="D83" s="2" t="s">
        <v>10</v>
      </c>
      <c r="E83" s="2">
        <v>1612495.0</v>
      </c>
      <c r="F83" s="2">
        <v>1.0</v>
      </c>
      <c r="G83" s="2">
        <v>0.0</v>
      </c>
      <c r="H83" s="2" t="s">
        <v>15</v>
      </c>
      <c r="I83" s="2" t="s">
        <v>12</v>
      </c>
    </row>
    <row r="84">
      <c r="A84" s="2">
        <v>1083.0</v>
      </c>
      <c r="B84" s="2" t="s">
        <v>69</v>
      </c>
      <c r="C84" s="2" t="s">
        <v>13</v>
      </c>
      <c r="D84" s="2" t="s">
        <v>17</v>
      </c>
      <c r="E84" s="2">
        <v>2406493.0</v>
      </c>
      <c r="F84" s="2">
        <v>0.0</v>
      </c>
      <c r="G84" s="2">
        <v>0.0</v>
      </c>
      <c r="H84" s="2" t="s">
        <v>15</v>
      </c>
      <c r="I84" s="2" t="s">
        <v>12</v>
      </c>
    </row>
    <row r="85">
      <c r="A85" s="2">
        <v>1084.0</v>
      </c>
      <c r="B85" s="2" t="s">
        <v>70</v>
      </c>
      <c r="C85" s="2" t="s">
        <v>13</v>
      </c>
      <c r="D85" s="2" t="s">
        <v>10</v>
      </c>
      <c r="E85" s="2">
        <v>1524792.0</v>
      </c>
      <c r="F85" s="2">
        <v>1.0</v>
      </c>
      <c r="G85" s="2">
        <v>250000.0</v>
      </c>
      <c r="H85" s="2" t="s">
        <v>15</v>
      </c>
      <c r="I85" s="2" t="s">
        <v>20</v>
      </c>
    </row>
    <row r="86">
      <c r="A86" s="2">
        <v>1085.0</v>
      </c>
      <c r="B86" s="2" t="s">
        <v>71</v>
      </c>
      <c r="C86" s="2" t="s">
        <v>29</v>
      </c>
      <c r="D86" s="2" t="s">
        <v>14</v>
      </c>
      <c r="E86" s="2">
        <v>2485954.0</v>
      </c>
      <c r="F86" s="2">
        <v>0.0</v>
      </c>
      <c r="G86" s="2">
        <v>0.0</v>
      </c>
      <c r="H86" s="2" t="s">
        <v>15</v>
      </c>
      <c r="I86" s="2" t="s">
        <v>12</v>
      </c>
    </row>
    <row r="87">
      <c r="A87" s="2">
        <v>1086.0</v>
      </c>
      <c r="B87" s="2" t="s">
        <v>72</v>
      </c>
      <c r="C87" s="2" t="s">
        <v>29</v>
      </c>
      <c r="D87" s="2" t="s">
        <v>14</v>
      </c>
      <c r="E87" s="2">
        <v>833272.0</v>
      </c>
      <c r="F87" s="2">
        <v>0.0</v>
      </c>
      <c r="G87" s="2">
        <v>0.0</v>
      </c>
      <c r="H87" s="2" t="s">
        <v>15</v>
      </c>
      <c r="I87" s="2" t="s">
        <v>20</v>
      </c>
    </row>
    <row r="88">
      <c r="A88" s="2">
        <v>1087.0</v>
      </c>
      <c r="B88" s="2" t="s">
        <v>73</v>
      </c>
      <c r="C88" s="2" t="s">
        <v>29</v>
      </c>
      <c r="D88" s="2" t="s">
        <v>10</v>
      </c>
      <c r="E88" s="2">
        <v>1467836.0</v>
      </c>
      <c r="F88" s="2">
        <v>1.0</v>
      </c>
      <c r="G88" s="2">
        <v>0.0</v>
      </c>
      <c r="H88" s="2" t="s">
        <v>15</v>
      </c>
      <c r="I88" s="2" t="s">
        <v>12</v>
      </c>
    </row>
    <row r="89">
      <c r="A89" s="2">
        <v>1088.0</v>
      </c>
      <c r="B89" s="2" t="s">
        <v>74</v>
      </c>
      <c r="C89" s="2" t="s">
        <v>29</v>
      </c>
      <c r="D89" s="2" t="s">
        <v>19</v>
      </c>
      <c r="E89" s="2">
        <v>1686001.0</v>
      </c>
      <c r="F89" s="2">
        <v>1.0</v>
      </c>
      <c r="G89" s="2">
        <v>200000.0</v>
      </c>
      <c r="H89" s="2" t="s">
        <v>15</v>
      </c>
      <c r="I89" s="2" t="s">
        <v>12</v>
      </c>
    </row>
    <row r="90">
      <c r="A90" s="2">
        <v>1089.0</v>
      </c>
      <c r="B90" s="2" t="s">
        <v>75</v>
      </c>
      <c r="C90" s="2" t="s">
        <v>9</v>
      </c>
      <c r="D90" s="2" t="s">
        <v>10</v>
      </c>
      <c r="E90" s="2">
        <v>1402335.0</v>
      </c>
      <c r="F90" s="2">
        <v>1.0</v>
      </c>
      <c r="G90" s="2">
        <v>250000.0</v>
      </c>
      <c r="H90" s="2" t="s">
        <v>15</v>
      </c>
      <c r="I90" s="2" t="s">
        <v>20</v>
      </c>
    </row>
    <row r="91">
      <c r="A91" s="2">
        <v>1090.0</v>
      </c>
      <c r="B91" s="2" t="s">
        <v>76</v>
      </c>
      <c r="C91" s="2" t="s">
        <v>16</v>
      </c>
      <c r="D91" s="2" t="s">
        <v>19</v>
      </c>
      <c r="E91" s="2">
        <v>1507789.0</v>
      </c>
      <c r="F91" s="2">
        <v>1.0</v>
      </c>
      <c r="G91" s="2">
        <v>250000.0</v>
      </c>
      <c r="H91" s="2" t="s">
        <v>15</v>
      </c>
      <c r="I91" s="2" t="s">
        <v>20</v>
      </c>
    </row>
    <row r="92">
      <c r="A92" s="2">
        <v>1091.0</v>
      </c>
      <c r="B92" s="3">
        <v>45661.0</v>
      </c>
      <c r="C92" s="2" t="s">
        <v>16</v>
      </c>
      <c r="D92" s="2" t="s">
        <v>17</v>
      </c>
      <c r="E92" s="2">
        <v>2391985.0</v>
      </c>
      <c r="F92" s="2">
        <v>0.0</v>
      </c>
      <c r="G92" s="2">
        <v>0.0</v>
      </c>
      <c r="H92" s="2" t="s">
        <v>11</v>
      </c>
      <c r="I92" s="2" t="s">
        <v>12</v>
      </c>
    </row>
    <row r="93">
      <c r="A93" s="2">
        <v>1092.0</v>
      </c>
      <c r="B93" s="3">
        <v>45692.0</v>
      </c>
      <c r="C93" s="2" t="s">
        <v>29</v>
      </c>
      <c r="D93" s="2" t="s">
        <v>17</v>
      </c>
      <c r="E93" s="2">
        <v>1826081.0</v>
      </c>
      <c r="F93" s="2">
        <v>0.0</v>
      </c>
      <c r="G93" s="2">
        <v>0.0</v>
      </c>
      <c r="H93" s="2" t="s">
        <v>15</v>
      </c>
      <c r="I93" s="2" t="s">
        <v>20</v>
      </c>
    </row>
    <row r="94">
      <c r="A94" s="2">
        <v>1093.0</v>
      </c>
      <c r="B94" s="3">
        <v>45720.0</v>
      </c>
      <c r="C94" s="2" t="s">
        <v>16</v>
      </c>
      <c r="D94" s="2" t="s">
        <v>17</v>
      </c>
      <c r="E94" s="2">
        <v>702869.0</v>
      </c>
      <c r="F94" s="2">
        <v>0.0</v>
      </c>
      <c r="G94" s="2">
        <v>0.0</v>
      </c>
      <c r="H94" s="2" t="s">
        <v>15</v>
      </c>
      <c r="I94" s="2" t="s">
        <v>12</v>
      </c>
    </row>
    <row r="95">
      <c r="A95" s="2">
        <v>1094.0</v>
      </c>
      <c r="B95" s="3">
        <v>45751.0</v>
      </c>
      <c r="C95" s="2" t="s">
        <v>16</v>
      </c>
      <c r="D95" s="2" t="s">
        <v>14</v>
      </c>
      <c r="E95" s="2">
        <v>1481474.0</v>
      </c>
      <c r="F95" s="2">
        <v>1.0</v>
      </c>
      <c r="G95" s="2">
        <v>250000.0</v>
      </c>
      <c r="H95" s="2" t="s">
        <v>15</v>
      </c>
      <c r="I95" s="2" t="s">
        <v>20</v>
      </c>
    </row>
    <row r="96">
      <c r="A96" s="2">
        <v>1095.0</v>
      </c>
      <c r="B96" s="3">
        <v>45781.0</v>
      </c>
      <c r="C96" s="2" t="s">
        <v>29</v>
      </c>
      <c r="D96" s="2" t="s">
        <v>17</v>
      </c>
      <c r="E96" s="2">
        <v>1154351.0</v>
      </c>
      <c r="F96" s="2">
        <v>1.0</v>
      </c>
      <c r="G96" s="2">
        <v>250000.0</v>
      </c>
      <c r="H96" s="2" t="s">
        <v>15</v>
      </c>
      <c r="I96" s="2" t="s">
        <v>18</v>
      </c>
    </row>
    <row r="97">
      <c r="A97" s="2">
        <v>1096.0</v>
      </c>
      <c r="B97" s="3">
        <v>45812.0</v>
      </c>
      <c r="C97" s="2" t="s">
        <v>16</v>
      </c>
      <c r="D97" s="2" t="s">
        <v>19</v>
      </c>
      <c r="E97" s="2">
        <v>2060828.0</v>
      </c>
      <c r="F97" s="2">
        <v>1.0</v>
      </c>
      <c r="G97" s="2">
        <v>200000.0</v>
      </c>
      <c r="H97" s="2" t="s">
        <v>15</v>
      </c>
      <c r="I97" s="2" t="s">
        <v>18</v>
      </c>
    </row>
    <row r="98">
      <c r="A98" s="2">
        <v>1097.0</v>
      </c>
      <c r="B98" s="3">
        <v>45842.0</v>
      </c>
      <c r="C98" s="2" t="s">
        <v>13</v>
      </c>
      <c r="D98" s="2" t="s">
        <v>17</v>
      </c>
      <c r="E98" s="2">
        <v>1336584.0</v>
      </c>
      <c r="F98" s="2">
        <v>0.0</v>
      </c>
      <c r="G98" s="2">
        <v>0.0</v>
      </c>
      <c r="H98" s="2" t="s">
        <v>15</v>
      </c>
      <c r="I98" s="2" t="s">
        <v>18</v>
      </c>
    </row>
    <row r="99">
      <c r="A99" s="2">
        <v>1098.0</v>
      </c>
      <c r="B99" s="3">
        <v>45873.0</v>
      </c>
      <c r="C99" s="2" t="s">
        <v>21</v>
      </c>
      <c r="D99" s="2" t="s">
        <v>10</v>
      </c>
      <c r="E99" s="2">
        <v>1318467.0</v>
      </c>
      <c r="F99" s="2">
        <v>1.0</v>
      </c>
      <c r="G99" s="2">
        <v>250000.0</v>
      </c>
      <c r="H99" s="2" t="s">
        <v>15</v>
      </c>
      <c r="I99" s="2" t="s">
        <v>18</v>
      </c>
    </row>
    <row r="100">
      <c r="A100" s="2">
        <v>1099.0</v>
      </c>
      <c r="B100" s="3">
        <v>45904.0</v>
      </c>
      <c r="C100" s="2" t="s">
        <v>21</v>
      </c>
      <c r="D100" s="2" t="s">
        <v>10</v>
      </c>
      <c r="E100" s="2">
        <v>1838848.0</v>
      </c>
      <c r="F100" s="2">
        <v>1.0</v>
      </c>
      <c r="G100" s="2">
        <v>0.0</v>
      </c>
      <c r="H100" s="2" t="s">
        <v>15</v>
      </c>
      <c r="I100" s="2" t="s">
        <v>18</v>
      </c>
    </row>
    <row r="101">
      <c r="A101" s="2">
        <v>1100.0</v>
      </c>
      <c r="B101" s="3">
        <v>45934.0</v>
      </c>
      <c r="C101" s="2" t="s">
        <v>29</v>
      </c>
      <c r="D101" s="2" t="s">
        <v>14</v>
      </c>
      <c r="E101" s="2">
        <v>738467.0</v>
      </c>
      <c r="F101" s="2">
        <v>1.0</v>
      </c>
      <c r="G101" s="2">
        <v>250000.0</v>
      </c>
      <c r="H101" s="2" t="s">
        <v>15</v>
      </c>
      <c r="I101" s="2" t="s">
        <v>12</v>
      </c>
    </row>
    <row r="102">
      <c r="A102" s="2">
        <v>1101.0</v>
      </c>
      <c r="B102" s="3">
        <v>45965.0</v>
      </c>
      <c r="C102" s="2" t="s">
        <v>9</v>
      </c>
      <c r="D102" s="2" t="s">
        <v>10</v>
      </c>
      <c r="E102" s="2">
        <v>1736685.0</v>
      </c>
      <c r="F102" s="2">
        <v>1.0</v>
      </c>
      <c r="G102" s="2">
        <v>0.0</v>
      </c>
      <c r="H102" s="2" t="s">
        <v>15</v>
      </c>
      <c r="I102" s="2" t="s">
        <v>18</v>
      </c>
    </row>
    <row r="103">
      <c r="A103" s="2">
        <v>1102.0</v>
      </c>
      <c r="B103" s="3">
        <v>45995.0</v>
      </c>
      <c r="C103" s="2" t="s">
        <v>29</v>
      </c>
      <c r="D103" s="2" t="s">
        <v>19</v>
      </c>
      <c r="E103" s="2">
        <v>1577844.0</v>
      </c>
      <c r="F103" s="2">
        <v>1.0</v>
      </c>
      <c r="G103" s="2">
        <v>200000.0</v>
      </c>
      <c r="H103" s="2" t="s">
        <v>15</v>
      </c>
      <c r="I103" s="2" t="s">
        <v>18</v>
      </c>
    </row>
    <row r="104">
      <c r="A104" s="2">
        <v>1103.0</v>
      </c>
      <c r="B104" s="2" t="s">
        <v>77</v>
      </c>
      <c r="C104" s="2" t="s">
        <v>9</v>
      </c>
      <c r="D104" s="2" t="s">
        <v>17</v>
      </c>
      <c r="E104" s="2">
        <v>1180047.0</v>
      </c>
      <c r="F104" s="2">
        <v>0.0</v>
      </c>
      <c r="G104" s="2">
        <v>0.0</v>
      </c>
      <c r="H104" s="2" t="s">
        <v>15</v>
      </c>
      <c r="I104" s="2" t="s">
        <v>18</v>
      </c>
    </row>
    <row r="105">
      <c r="A105" s="2">
        <v>1104.0</v>
      </c>
      <c r="B105" s="2" t="s">
        <v>78</v>
      </c>
      <c r="C105" s="2" t="s">
        <v>21</v>
      </c>
      <c r="D105" s="2" t="s">
        <v>14</v>
      </c>
      <c r="E105" s="2">
        <v>2407923.0</v>
      </c>
      <c r="F105" s="2">
        <v>0.0</v>
      </c>
      <c r="G105" s="2">
        <v>0.0</v>
      </c>
      <c r="H105" s="2" t="s">
        <v>15</v>
      </c>
      <c r="I105" s="2" t="s">
        <v>18</v>
      </c>
    </row>
    <row r="106">
      <c r="A106" s="2">
        <v>1105.0</v>
      </c>
      <c r="B106" s="2" t="s">
        <v>79</v>
      </c>
      <c r="C106" s="2" t="s">
        <v>29</v>
      </c>
      <c r="D106" s="2" t="s">
        <v>17</v>
      </c>
      <c r="E106" s="2">
        <v>1807447.0</v>
      </c>
      <c r="F106" s="2">
        <v>1.0</v>
      </c>
      <c r="G106" s="2">
        <v>0.0</v>
      </c>
      <c r="H106" s="2" t="s">
        <v>15</v>
      </c>
      <c r="I106" s="2" t="s">
        <v>20</v>
      </c>
    </row>
    <row r="107">
      <c r="A107" s="2">
        <v>1106.0</v>
      </c>
      <c r="B107" s="2" t="s">
        <v>80</v>
      </c>
      <c r="C107" s="2" t="s">
        <v>13</v>
      </c>
      <c r="D107" s="2" t="s">
        <v>17</v>
      </c>
      <c r="E107" s="2">
        <v>1639903.0</v>
      </c>
      <c r="F107" s="2">
        <v>0.0</v>
      </c>
      <c r="G107" s="2">
        <v>0.0</v>
      </c>
      <c r="H107" s="2" t="s">
        <v>15</v>
      </c>
      <c r="I107" s="2" t="s">
        <v>12</v>
      </c>
    </row>
    <row r="108">
      <c r="A108" s="2">
        <v>1107.0</v>
      </c>
      <c r="B108" s="2" t="s">
        <v>81</v>
      </c>
      <c r="C108" s="2" t="s">
        <v>16</v>
      </c>
      <c r="D108" s="2" t="s">
        <v>19</v>
      </c>
      <c r="E108" s="2">
        <v>828391.0</v>
      </c>
      <c r="F108" s="2">
        <v>0.0</v>
      </c>
      <c r="G108" s="2">
        <v>0.0</v>
      </c>
      <c r="H108" s="2" t="s">
        <v>15</v>
      </c>
      <c r="I108" s="2" t="s">
        <v>18</v>
      </c>
    </row>
    <row r="109">
      <c r="A109" s="2">
        <v>1108.0</v>
      </c>
      <c r="B109" s="2" t="s">
        <v>82</v>
      </c>
      <c r="C109" s="2" t="s">
        <v>9</v>
      </c>
      <c r="D109" s="2" t="s">
        <v>10</v>
      </c>
      <c r="E109" s="2">
        <v>1139430.0</v>
      </c>
      <c r="F109" s="2">
        <v>0.0</v>
      </c>
      <c r="G109" s="2">
        <v>0.0</v>
      </c>
      <c r="H109" s="2" t="s">
        <v>11</v>
      </c>
      <c r="I109" s="2" t="s">
        <v>18</v>
      </c>
    </row>
    <row r="110">
      <c r="A110" s="2">
        <v>1109.0</v>
      </c>
      <c r="B110" s="2" t="s">
        <v>83</v>
      </c>
      <c r="C110" s="2" t="s">
        <v>16</v>
      </c>
      <c r="D110" s="2" t="s">
        <v>10</v>
      </c>
      <c r="E110" s="2">
        <v>1717026.0</v>
      </c>
      <c r="F110" s="2">
        <v>0.0</v>
      </c>
      <c r="G110" s="2">
        <v>0.0</v>
      </c>
      <c r="H110" s="2" t="s">
        <v>11</v>
      </c>
      <c r="I110" s="2" t="s">
        <v>18</v>
      </c>
    </row>
    <row r="111">
      <c r="A111" s="2">
        <v>1110.0</v>
      </c>
      <c r="B111" s="2" t="s">
        <v>84</v>
      </c>
      <c r="C111" s="2" t="s">
        <v>16</v>
      </c>
      <c r="D111" s="2" t="s">
        <v>17</v>
      </c>
      <c r="E111" s="2">
        <v>2359280.0</v>
      </c>
      <c r="F111" s="2">
        <v>1.0</v>
      </c>
      <c r="G111" s="2">
        <v>0.0</v>
      </c>
      <c r="H111" s="2" t="s">
        <v>15</v>
      </c>
      <c r="I111" s="2" t="s">
        <v>12</v>
      </c>
    </row>
    <row r="112">
      <c r="A112" s="2">
        <v>1111.0</v>
      </c>
      <c r="B112" s="2" t="s">
        <v>85</v>
      </c>
      <c r="C112" s="2" t="s">
        <v>29</v>
      </c>
      <c r="D112" s="2" t="s">
        <v>14</v>
      </c>
      <c r="E112" s="2">
        <v>956687.0</v>
      </c>
      <c r="F112" s="2">
        <v>1.0</v>
      </c>
      <c r="G112" s="2">
        <v>150000.0</v>
      </c>
      <c r="H112" s="2" t="s">
        <v>15</v>
      </c>
      <c r="I112" s="2" t="s">
        <v>20</v>
      </c>
    </row>
    <row r="113">
      <c r="A113" s="2">
        <v>1112.0</v>
      </c>
      <c r="B113" s="2" t="s">
        <v>86</v>
      </c>
      <c r="C113" s="2" t="s">
        <v>16</v>
      </c>
      <c r="D113" s="2" t="s">
        <v>10</v>
      </c>
      <c r="E113" s="2">
        <v>2474027.0</v>
      </c>
      <c r="F113" s="2">
        <v>1.0</v>
      </c>
      <c r="G113" s="2">
        <v>250000.0</v>
      </c>
      <c r="H113" s="2" t="s">
        <v>15</v>
      </c>
      <c r="I113" s="2" t="s">
        <v>12</v>
      </c>
    </row>
    <row r="114">
      <c r="A114" s="2">
        <v>1113.0</v>
      </c>
      <c r="B114" s="2" t="s">
        <v>87</v>
      </c>
      <c r="C114" s="2" t="s">
        <v>13</v>
      </c>
      <c r="D114" s="2" t="s">
        <v>14</v>
      </c>
      <c r="E114" s="2">
        <v>807450.0</v>
      </c>
      <c r="F114" s="2">
        <v>0.0</v>
      </c>
      <c r="G114" s="2">
        <v>0.0</v>
      </c>
      <c r="H114" s="2" t="s">
        <v>15</v>
      </c>
      <c r="I114" s="2" t="s">
        <v>20</v>
      </c>
    </row>
    <row r="115">
      <c r="A115" s="2">
        <v>1114.0</v>
      </c>
      <c r="B115" s="2" t="s">
        <v>88</v>
      </c>
      <c r="C115" s="2" t="s">
        <v>16</v>
      </c>
      <c r="D115" s="2" t="s">
        <v>10</v>
      </c>
      <c r="E115" s="2">
        <v>871890.0</v>
      </c>
      <c r="F115" s="2">
        <v>1.0</v>
      </c>
      <c r="G115" s="2">
        <v>0.0</v>
      </c>
      <c r="H115" s="2" t="s">
        <v>15</v>
      </c>
      <c r="I115" s="2" t="s">
        <v>18</v>
      </c>
    </row>
    <row r="116">
      <c r="A116" s="2">
        <v>1115.0</v>
      </c>
      <c r="B116" s="2" t="s">
        <v>89</v>
      </c>
      <c r="C116" s="2" t="s">
        <v>29</v>
      </c>
      <c r="D116" s="2" t="s">
        <v>14</v>
      </c>
      <c r="E116" s="2">
        <v>1138741.0</v>
      </c>
      <c r="F116" s="2">
        <v>1.0</v>
      </c>
      <c r="G116" s="2">
        <v>150000.0</v>
      </c>
      <c r="H116" s="2" t="s">
        <v>15</v>
      </c>
      <c r="I116" s="2" t="s">
        <v>18</v>
      </c>
    </row>
    <row r="117">
      <c r="A117" s="2">
        <v>1116.0</v>
      </c>
      <c r="B117" s="2" t="s">
        <v>90</v>
      </c>
      <c r="C117" s="2" t="s">
        <v>13</v>
      </c>
      <c r="D117" s="2" t="s">
        <v>19</v>
      </c>
      <c r="E117" s="2">
        <v>981974.0</v>
      </c>
      <c r="F117" s="2">
        <v>0.0</v>
      </c>
      <c r="G117" s="2">
        <v>0.0</v>
      </c>
      <c r="H117" s="2" t="s">
        <v>15</v>
      </c>
      <c r="I117" s="2" t="s">
        <v>12</v>
      </c>
    </row>
    <row r="118">
      <c r="A118" s="2">
        <v>1117.0</v>
      </c>
      <c r="B118" s="2" t="s">
        <v>91</v>
      </c>
      <c r="C118" s="2" t="s">
        <v>21</v>
      </c>
      <c r="D118" s="2" t="s">
        <v>14</v>
      </c>
      <c r="E118" s="2">
        <v>2148685.0</v>
      </c>
      <c r="F118" s="2">
        <v>1.0</v>
      </c>
      <c r="G118" s="2">
        <v>200000.0</v>
      </c>
      <c r="H118" s="2" t="s">
        <v>15</v>
      </c>
      <c r="I118" s="2" t="s">
        <v>12</v>
      </c>
    </row>
    <row r="119">
      <c r="A119" s="2">
        <v>1118.0</v>
      </c>
      <c r="B119" s="2" t="s">
        <v>92</v>
      </c>
      <c r="C119" s="2" t="s">
        <v>16</v>
      </c>
      <c r="D119" s="2" t="s">
        <v>19</v>
      </c>
      <c r="E119" s="2">
        <v>816381.0</v>
      </c>
      <c r="F119" s="2">
        <v>0.0</v>
      </c>
      <c r="G119" s="2">
        <v>0.0</v>
      </c>
      <c r="H119" s="2" t="s">
        <v>15</v>
      </c>
      <c r="I119" s="2" t="s">
        <v>20</v>
      </c>
    </row>
    <row r="120">
      <c r="A120" s="2">
        <v>1119.0</v>
      </c>
      <c r="B120" s="2" t="s">
        <v>93</v>
      </c>
      <c r="C120" s="2" t="s">
        <v>29</v>
      </c>
      <c r="D120" s="2" t="s">
        <v>19</v>
      </c>
      <c r="E120" s="2">
        <v>2221701.0</v>
      </c>
      <c r="F120" s="2">
        <v>1.0</v>
      </c>
      <c r="G120" s="2">
        <v>0.0</v>
      </c>
      <c r="H120" s="2" t="s">
        <v>15</v>
      </c>
      <c r="I120" s="2" t="s">
        <v>20</v>
      </c>
    </row>
    <row r="121">
      <c r="A121" s="2">
        <v>1120.0</v>
      </c>
      <c r="B121" s="2" t="s">
        <v>94</v>
      </c>
      <c r="C121" s="2" t="s">
        <v>21</v>
      </c>
      <c r="D121" s="2" t="s">
        <v>14</v>
      </c>
      <c r="E121" s="2">
        <v>2320197.0</v>
      </c>
      <c r="F121" s="2">
        <v>1.0</v>
      </c>
      <c r="G121" s="2">
        <v>250000.0</v>
      </c>
      <c r="H121" s="2" t="s">
        <v>15</v>
      </c>
      <c r="I121" s="2"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2" t="s">
        <v>95</v>
      </c>
    </row>
    <row r="4">
      <c r="A4" s="2" t="s">
        <v>96</v>
      </c>
    </row>
    <row r="5">
      <c r="A5" s="2" t="s">
        <v>97</v>
      </c>
    </row>
    <row r="6">
      <c r="A6" s="2" t="s">
        <v>98</v>
      </c>
    </row>
    <row r="7">
      <c r="A7" s="2" t="s">
        <v>99</v>
      </c>
    </row>
    <row r="9">
      <c r="A9" s="2" t="s">
        <v>100</v>
      </c>
    </row>
    <row r="10">
      <c r="A10" s="2" t="s">
        <v>101</v>
      </c>
    </row>
    <row r="11">
      <c r="A11" s="2" t="s">
        <v>102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21.63"/>
    <col customWidth="1" min="3" max="3" width="15.75"/>
    <col customWidth="1" min="4" max="4" width="20.75"/>
    <col customWidth="1" min="6" max="6" width="17.0"/>
    <col customWidth="1" min="7" max="7" width="16.5"/>
    <col customWidth="1" min="9" max="9" width="26.5"/>
  </cols>
  <sheetData>
    <row r="1">
      <c r="A1" s="4" t="s">
        <v>0</v>
      </c>
      <c r="B1" s="4" t="s">
        <v>1</v>
      </c>
      <c r="C1" s="4" t="s">
        <v>2</v>
      </c>
      <c r="D1" s="4" t="s">
        <v>3</v>
      </c>
      <c r="E1" s="4" t="s">
        <v>4</v>
      </c>
      <c r="F1" s="4" t="s">
        <v>5</v>
      </c>
      <c r="G1" s="4" t="s">
        <v>6</v>
      </c>
      <c r="H1" s="4" t="s">
        <v>7</v>
      </c>
      <c r="I1" s="4" t="s">
        <v>8</v>
      </c>
      <c r="J1" s="5" t="s">
        <v>103</v>
      </c>
      <c r="K1" s="5" t="s">
        <v>104</v>
      </c>
    </row>
    <row r="2">
      <c r="A2" s="6">
        <v>1001.0</v>
      </c>
      <c r="B2" s="7">
        <f>DATEVALUE('DATABASED '!B2)</f>
        <v>45658</v>
      </c>
      <c r="C2" s="6" t="s">
        <v>9</v>
      </c>
      <c r="D2" s="6" t="s">
        <v>10</v>
      </c>
      <c r="E2" s="8">
        <v>2129626.0</v>
      </c>
      <c r="F2" s="6">
        <v>0.0</v>
      </c>
      <c r="G2" s="9">
        <v>0.0</v>
      </c>
      <c r="H2" s="6" t="s">
        <v>11</v>
      </c>
      <c r="I2" s="6" t="s">
        <v>12</v>
      </c>
      <c r="J2" s="10">
        <f t="shared" ref="J2:J121" si="1">E2+G2</f>
        <v>2129626</v>
      </c>
      <c r="K2" s="11">
        <f t="shared" ref="K2:K121" si="2">IF(H2="YES",1,0)</f>
        <v>1</v>
      </c>
    </row>
    <row r="3">
      <c r="A3" s="6">
        <v>1002.0</v>
      </c>
      <c r="B3" s="7">
        <f>DATEVALUE('DATABASED '!B3)</f>
        <v>45659</v>
      </c>
      <c r="C3" s="6" t="s">
        <v>13</v>
      </c>
      <c r="D3" s="6" t="s">
        <v>14</v>
      </c>
      <c r="E3" s="8">
        <v>1511774.0</v>
      </c>
      <c r="F3" s="6">
        <v>1.0</v>
      </c>
      <c r="G3" s="9">
        <v>250000.0</v>
      </c>
      <c r="H3" s="6" t="s">
        <v>15</v>
      </c>
      <c r="I3" s="6" t="s">
        <v>12</v>
      </c>
      <c r="J3" s="10">
        <f t="shared" si="1"/>
        <v>1761774</v>
      </c>
      <c r="K3" s="11">
        <f t="shared" si="2"/>
        <v>0</v>
      </c>
    </row>
    <row r="4">
      <c r="A4" s="6">
        <v>1003.0</v>
      </c>
      <c r="B4" s="7">
        <f>DATEVALUE('DATABASED '!B4)</f>
        <v>45660</v>
      </c>
      <c r="C4" s="6" t="s">
        <v>16</v>
      </c>
      <c r="D4" s="6" t="s">
        <v>17</v>
      </c>
      <c r="E4" s="8">
        <v>2441093.0</v>
      </c>
      <c r="F4" s="6">
        <v>1.0</v>
      </c>
      <c r="G4" s="9">
        <v>200000.0</v>
      </c>
      <c r="H4" s="6" t="s">
        <v>11</v>
      </c>
      <c r="I4" s="6" t="s">
        <v>18</v>
      </c>
      <c r="J4" s="10">
        <f t="shared" si="1"/>
        <v>2641093</v>
      </c>
      <c r="K4" s="11">
        <f t="shared" si="2"/>
        <v>1</v>
      </c>
    </row>
    <row r="5">
      <c r="A5" s="6">
        <v>1004.0</v>
      </c>
      <c r="B5" s="7">
        <f>DATEVALUE('DATABASED '!B5)</f>
        <v>45661</v>
      </c>
      <c r="C5" s="6" t="s">
        <v>13</v>
      </c>
      <c r="D5" s="6" t="s">
        <v>19</v>
      </c>
      <c r="E5" s="8">
        <v>1161079.0</v>
      </c>
      <c r="F5" s="6">
        <v>1.0</v>
      </c>
      <c r="G5" s="9">
        <v>150000.0</v>
      </c>
      <c r="H5" s="6" t="s">
        <v>15</v>
      </c>
      <c r="I5" s="6" t="s">
        <v>20</v>
      </c>
      <c r="J5" s="10">
        <f t="shared" si="1"/>
        <v>1311079</v>
      </c>
      <c r="K5" s="11">
        <f t="shared" si="2"/>
        <v>0</v>
      </c>
    </row>
    <row r="6">
      <c r="A6" s="6">
        <v>1005.0</v>
      </c>
      <c r="B6" s="7">
        <f>DATEVALUE('DATABASED '!B6)</f>
        <v>45662</v>
      </c>
      <c r="C6" s="6" t="s">
        <v>13</v>
      </c>
      <c r="D6" s="6" t="s">
        <v>19</v>
      </c>
      <c r="E6" s="8">
        <v>1068452.0</v>
      </c>
      <c r="F6" s="6">
        <v>1.0</v>
      </c>
      <c r="G6" s="9">
        <v>150000.0</v>
      </c>
      <c r="H6" s="6" t="s">
        <v>15</v>
      </c>
      <c r="I6" s="6" t="s">
        <v>12</v>
      </c>
      <c r="J6" s="10">
        <f t="shared" si="1"/>
        <v>1218452</v>
      </c>
      <c r="K6" s="11">
        <f t="shared" si="2"/>
        <v>0</v>
      </c>
    </row>
    <row r="7">
      <c r="A7" s="6">
        <v>1006.0</v>
      </c>
      <c r="B7" s="7">
        <f>DATEVALUE('DATABASED '!B7)</f>
        <v>45663</v>
      </c>
      <c r="C7" s="6" t="s">
        <v>21</v>
      </c>
      <c r="D7" s="6" t="s">
        <v>14</v>
      </c>
      <c r="E7" s="8">
        <v>806081.0</v>
      </c>
      <c r="F7" s="6">
        <v>1.0</v>
      </c>
      <c r="G7" s="9">
        <v>200000.0</v>
      </c>
      <c r="H7" s="6" t="s">
        <v>15</v>
      </c>
      <c r="I7" s="6" t="s">
        <v>12</v>
      </c>
      <c r="J7" s="10">
        <f t="shared" si="1"/>
        <v>1006081</v>
      </c>
      <c r="K7" s="11">
        <f t="shared" si="2"/>
        <v>0</v>
      </c>
    </row>
    <row r="8">
      <c r="A8" s="6">
        <v>1007.0</v>
      </c>
      <c r="B8" s="7">
        <f>DATEVALUE('DATABASED '!B8)</f>
        <v>45664</v>
      </c>
      <c r="C8" s="6" t="s">
        <v>16</v>
      </c>
      <c r="D8" s="6" t="s">
        <v>19</v>
      </c>
      <c r="E8" s="8">
        <v>1683237.0</v>
      </c>
      <c r="F8" s="6">
        <v>1.0</v>
      </c>
      <c r="G8" s="9">
        <v>150000.0</v>
      </c>
      <c r="H8" s="6" t="s">
        <v>15</v>
      </c>
      <c r="I8" s="6" t="s">
        <v>18</v>
      </c>
      <c r="J8" s="10">
        <f t="shared" si="1"/>
        <v>1833237</v>
      </c>
      <c r="K8" s="11">
        <f t="shared" si="2"/>
        <v>0</v>
      </c>
    </row>
    <row r="9">
      <c r="A9" s="6">
        <v>1008.0</v>
      </c>
      <c r="B9" s="7">
        <f>DATEVALUE('DATABASED '!B9)</f>
        <v>45665</v>
      </c>
      <c r="C9" s="6" t="s">
        <v>16</v>
      </c>
      <c r="D9" s="6" t="s">
        <v>17</v>
      </c>
      <c r="E9" s="8">
        <v>2361909.0</v>
      </c>
      <c r="F9" s="6">
        <v>0.0</v>
      </c>
      <c r="G9" s="9">
        <v>0.0</v>
      </c>
      <c r="H9" s="6" t="s">
        <v>15</v>
      </c>
      <c r="I9" s="6" t="s">
        <v>12</v>
      </c>
      <c r="J9" s="10">
        <f t="shared" si="1"/>
        <v>2361909</v>
      </c>
      <c r="K9" s="11">
        <f t="shared" si="2"/>
        <v>0</v>
      </c>
    </row>
    <row r="10">
      <c r="A10" s="6">
        <v>1009.0</v>
      </c>
      <c r="B10" s="7">
        <f>DATEVALUE('DATABASED '!B10)</f>
        <v>45666</v>
      </c>
      <c r="C10" s="6" t="s">
        <v>16</v>
      </c>
      <c r="D10" s="6" t="s">
        <v>14</v>
      </c>
      <c r="E10" s="8">
        <v>1258986.0</v>
      </c>
      <c r="F10" s="6">
        <v>1.0</v>
      </c>
      <c r="G10" s="9">
        <v>0.0</v>
      </c>
      <c r="H10" s="6" t="s">
        <v>15</v>
      </c>
      <c r="I10" s="6" t="s">
        <v>20</v>
      </c>
      <c r="J10" s="10">
        <f t="shared" si="1"/>
        <v>1258986</v>
      </c>
      <c r="K10" s="11">
        <f t="shared" si="2"/>
        <v>0</v>
      </c>
    </row>
    <row r="11">
      <c r="A11" s="6">
        <v>1010.0</v>
      </c>
      <c r="B11" s="7">
        <f>DATEVALUE('DATABASED '!B11)</f>
        <v>45667</v>
      </c>
      <c r="C11" s="6" t="s">
        <v>13</v>
      </c>
      <c r="D11" s="6" t="s">
        <v>17</v>
      </c>
      <c r="E11" s="8">
        <v>810078.0</v>
      </c>
      <c r="F11" s="6">
        <v>0.0</v>
      </c>
      <c r="G11" s="9">
        <v>0.0</v>
      </c>
      <c r="H11" s="6" t="s">
        <v>15</v>
      </c>
      <c r="I11" s="6" t="s">
        <v>18</v>
      </c>
      <c r="J11" s="10">
        <f t="shared" si="1"/>
        <v>810078</v>
      </c>
      <c r="K11" s="11">
        <f t="shared" si="2"/>
        <v>0</v>
      </c>
    </row>
    <row r="12">
      <c r="A12" s="6">
        <v>1011.0</v>
      </c>
      <c r="B12" s="7">
        <f>DATEVALUE('DATABASED '!B12)</f>
        <v>45668</v>
      </c>
      <c r="C12" s="6" t="s">
        <v>9</v>
      </c>
      <c r="D12" s="6" t="s">
        <v>14</v>
      </c>
      <c r="E12" s="8">
        <v>722671.0</v>
      </c>
      <c r="F12" s="6">
        <v>0.0</v>
      </c>
      <c r="G12" s="9">
        <v>0.0</v>
      </c>
      <c r="H12" s="6" t="s">
        <v>15</v>
      </c>
      <c r="I12" s="6" t="s">
        <v>12</v>
      </c>
      <c r="J12" s="10">
        <f t="shared" si="1"/>
        <v>722671</v>
      </c>
      <c r="K12" s="11">
        <f t="shared" si="2"/>
        <v>0</v>
      </c>
    </row>
    <row r="13">
      <c r="A13" s="6">
        <v>1012.0</v>
      </c>
      <c r="B13" s="7">
        <f>DATEVALUE('DATABASED '!B13)</f>
        <v>45669</v>
      </c>
      <c r="C13" s="6" t="s">
        <v>16</v>
      </c>
      <c r="D13" s="6" t="s">
        <v>14</v>
      </c>
      <c r="E13" s="8">
        <v>2166976.0</v>
      </c>
      <c r="F13" s="6">
        <v>1.0</v>
      </c>
      <c r="G13" s="9">
        <v>0.0</v>
      </c>
      <c r="H13" s="6" t="s">
        <v>15</v>
      </c>
      <c r="I13" s="6" t="s">
        <v>18</v>
      </c>
      <c r="J13" s="10">
        <f t="shared" si="1"/>
        <v>2166976</v>
      </c>
      <c r="K13" s="11">
        <f t="shared" si="2"/>
        <v>0</v>
      </c>
    </row>
    <row r="14">
      <c r="A14" s="6">
        <v>1013.0</v>
      </c>
      <c r="B14" s="7">
        <f>DATEVALUE('DATABASED '!B14)</f>
        <v>45670</v>
      </c>
      <c r="C14" s="6" t="s">
        <v>13</v>
      </c>
      <c r="D14" s="6" t="s">
        <v>10</v>
      </c>
      <c r="E14" s="8">
        <v>2104104.0</v>
      </c>
      <c r="F14" s="6">
        <v>0.0</v>
      </c>
      <c r="G14" s="9">
        <v>0.0</v>
      </c>
      <c r="H14" s="6" t="s">
        <v>15</v>
      </c>
      <c r="I14" s="6" t="s">
        <v>12</v>
      </c>
      <c r="J14" s="10">
        <f t="shared" si="1"/>
        <v>2104104</v>
      </c>
      <c r="K14" s="11">
        <f t="shared" si="2"/>
        <v>0</v>
      </c>
    </row>
    <row r="15">
      <c r="A15" s="6">
        <v>1014.0</v>
      </c>
      <c r="B15" s="7">
        <f>DATEVALUE('DATABASED '!B15)</f>
        <v>45671</v>
      </c>
      <c r="C15" s="6" t="s">
        <v>21</v>
      </c>
      <c r="D15" s="6" t="s">
        <v>17</v>
      </c>
      <c r="E15" s="8">
        <v>2359066.0</v>
      </c>
      <c r="F15" s="6">
        <v>1.0</v>
      </c>
      <c r="G15" s="9">
        <v>250000.0</v>
      </c>
      <c r="H15" s="6" t="s">
        <v>15</v>
      </c>
      <c r="I15" s="6" t="s">
        <v>12</v>
      </c>
      <c r="J15" s="10">
        <f t="shared" si="1"/>
        <v>2609066</v>
      </c>
      <c r="K15" s="11">
        <f t="shared" si="2"/>
        <v>0</v>
      </c>
    </row>
    <row r="16">
      <c r="A16" s="6">
        <v>1015.0</v>
      </c>
      <c r="B16" s="7">
        <f>DATEVALUE('DATABASED '!B16)</f>
        <v>45672</v>
      </c>
      <c r="C16" s="6" t="s">
        <v>9</v>
      </c>
      <c r="D16" s="6" t="s">
        <v>19</v>
      </c>
      <c r="E16" s="8">
        <v>751663.0</v>
      </c>
      <c r="F16" s="6">
        <v>1.0</v>
      </c>
      <c r="G16" s="9">
        <v>250000.0</v>
      </c>
      <c r="H16" s="6" t="s">
        <v>15</v>
      </c>
      <c r="I16" s="6" t="s">
        <v>12</v>
      </c>
      <c r="J16" s="10">
        <f t="shared" si="1"/>
        <v>1001663</v>
      </c>
      <c r="K16" s="11">
        <f t="shared" si="2"/>
        <v>0</v>
      </c>
    </row>
    <row r="17">
      <c r="A17" s="6">
        <v>1016.0</v>
      </c>
      <c r="B17" s="7">
        <f>DATEVALUE('DATABASED '!B17)</f>
        <v>45673</v>
      </c>
      <c r="C17" s="6" t="s">
        <v>21</v>
      </c>
      <c r="D17" s="6" t="s">
        <v>19</v>
      </c>
      <c r="E17" s="8">
        <v>1764284.0</v>
      </c>
      <c r="F17" s="6">
        <v>1.0</v>
      </c>
      <c r="G17" s="9">
        <v>250000.0</v>
      </c>
      <c r="H17" s="6" t="s">
        <v>11</v>
      </c>
      <c r="I17" s="6" t="s">
        <v>20</v>
      </c>
      <c r="J17" s="10">
        <f t="shared" si="1"/>
        <v>2014284</v>
      </c>
      <c r="K17" s="11">
        <f t="shared" si="2"/>
        <v>1</v>
      </c>
    </row>
    <row r="18">
      <c r="A18" s="6">
        <v>1017.0</v>
      </c>
      <c r="B18" s="7">
        <f>DATEVALUE('DATABASED '!B18)</f>
        <v>45674</v>
      </c>
      <c r="C18" s="6" t="s">
        <v>9</v>
      </c>
      <c r="D18" s="6" t="s">
        <v>17</v>
      </c>
      <c r="E18" s="8">
        <v>1011955.0</v>
      </c>
      <c r="F18" s="6">
        <v>0.0</v>
      </c>
      <c r="G18" s="9">
        <v>0.0</v>
      </c>
      <c r="H18" s="6" t="s">
        <v>15</v>
      </c>
      <c r="I18" s="6" t="s">
        <v>20</v>
      </c>
      <c r="J18" s="10">
        <f t="shared" si="1"/>
        <v>1011955</v>
      </c>
      <c r="K18" s="11">
        <f t="shared" si="2"/>
        <v>0</v>
      </c>
    </row>
    <row r="19">
      <c r="A19" s="6">
        <v>1018.0</v>
      </c>
      <c r="B19" s="7">
        <f>DATEVALUE('DATABASED '!B19)</f>
        <v>45675</v>
      </c>
      <c r="C19" s="6" t="s">
        <v>13</v>
      </c>
      <c r="D19" s="6" t="s">
        <v>19</v>
      </c>
      <c r="E19" s="8">
        <v>1882459.0</v>
      </c>
      <c r="F19" s="6">
        <v>0.0</v>
      </c>
      <c r="G19" s="9">
        <v>0.0</v>
      </c>
      <c r="H19" s="6" t="s">
        <v>11</v>
      </c>
      <c r="I19" s="6" t="s">
        <v>18</v>
      </c>
      <c r="J19" s="10">
        <f t="shared" si="1"/>
        <v>1882459</v>
      </c>
      <c r="K19" s="11">
        <f t="shared" si="2"/>
        <v>1</v>
      </c>
    </row>
    <row r="20">
      <c r="A20" s="6">
        <v>1019.0</v>
      </c>
      <c r="B20" s="7">
        <f>DATEVALUE('DATABASED '!B20)</f>
        <v>45676</v>
      </c>
      <c r="C20" s="6" t="s">
        <v>29</v>
      </c>
      <c r="D20" s="6" t="s">
        <v>19</v>
      </c>
      <c r="E20" s="8">
        <v>2066970.0</v>
      </c>
      <c r="F20" s="6">
        <v>1.0</v>
      </c>
      <c r="G20" s="9">
        <v>0.0</v>
      </c>
      <c r="H20" s="6" t="s">
        <v>15</v>
      </c>
      <c r="I20" s="6" t="s">
        <v>12</v>
      </c>
      <c r="J20" s="10">
        <f t="shared" si="1"/>
        <v>2066970</v>
      </c>
      <c r="K20" s="11">
        <f t="shared" si="2"/>
        <v>0</v>
      </c>
    </row>
    <row r="21">
      <c r="A21" s="6">
        <v>1020.0</v>
      </c>
      <c r="B21" s="7">
        <f>DATEVALUE('DATABASED '!B21)</f>
        <v>45677</v>
      </c>
      <c r="C21" s="6" t="s">
        <v>9</v>
      </c>
      <c r="D21" s="6" t="s">
        <v>17</v>
      </c>
      <c r="E21" s="8">
        <v>812547.0</v>
      </c>
      <c r="F21" s="6">
        <v>1.0</v>
      </c>
      <c r="G21" s="9">
        <v>250000.0</v>
      </c>
      <c r="H21" s="6" t="s">
        <v>15</v>
      </c>
      <c r="I21" s="6" t="s">
        <v>12</v>
      </c>
      <c r="J21" s="10">
        <f t="shared" si="1"/>
        <v>1062547</v>
      </c>
      <c r="K21" s="11">
        <f t="shared" si="2"/>
        <v>0</v>
      </c>
    </row>
    <row r="22">
      <c r="A22" s="6">
        <v>1021.0</v>
      </c>
      <c r="B22" s="7">
        <f>DATEVALUE('DATABASED '!B22)</f>
        <v>45678</v>
      </c>
      <c r="C22" s="6" t="s">
        <v>21</v>
      </c>
      <c r="D22" s="6" t="s">
        <v>14</v>
      </c>
      <c r="E22" s="8">
        <v>1610681.0</v>
      </c>
      <c r="F22" s="6">
        <v>1.0</v>
      </c>
      <c r="G22" s="9">
        <v>250000.0</v>
      </c>
      <c r="H22" s="6" t="s">
        <v>15</v>
      </c>
      <c r="I22" s="6" t="s">
        <v>20</v>
      </c>
      <c r="J22" s="10">
        <f t="shared" si="1"/>
        <v>1860681</v>
      </c>
      <c r="K22" s="11">
        <f t="shared" si="2"/>
        <v>0</v>
      </c>
    </row>
    <row r="23">
      <c r="A23" s="6">
        <v>1022.0</v>
      </c>
      <c r="B23" s="7">
        <f>DATEVALUE('DATABASED '!B23)</f>
        <v>45679</v>
      </c>
      <c r="C23" s="6" t="s">
        <v>13</v>
      </c>
      <c r="D23" s="6" t="s">
        <v>17</v>
      </c>
      <c r="E23" s="8">
        <v>2307618.0</v>
      </c>
      <c r="F23" s="6">
        <v>1.0</v>
      </c>
      <c r="G23" s="9">
        <v>250000.0</v>
      </c>
      <c r="H23" s="6" t="s">
        <v>15</v>
      </c>
      <c r="I23" s="6" t="s">
        <v>12</v>
      </c>
      <c r="J23" s="10">
        <f t="shared" si="1"/>
        <v>2557618</v>
      </c>
      <c r="K23" s="11">
        <f t="shared" si="2"/>
        <v>0</v>
      </c>
    </row>
    <row r="24">
      <c r="A24" s="6">
        <v>1023.0</v>
      </c>
      <c r="B24" s="7">
        <f>DATEVALUE('DATABASED '!B24)</f>
        <v>45680</v>
      </c>
      <c r="C24" s="6" t="s">
        <v>9</v>
      </c>
      <c r="D24" s="6" t="s">
        <v>14</v>
      </c>
      <c r="E24" s="8">
        <v>2499678.0</v>
      </c>
      <c r="F24" s="6">
        <v>1.0</v>
      </c>
      <c r="G24" s="9">
        <v>200000.0</v>
      </c>
      <c r="H24" s="6" t="s">
        <v>15</v>
      </c>
      <c r="I24" s="6" t="s">
        <v>20</v>
      </c>
      <c r="J24" s="10">
        <f t="shared" si="1"/>
        <v>2699678</v>
      </c>
      <c r="K24" s="11">
        <f t="shared" si="2"/>
        <v>0</v>
      </c>
    </row>
    <row r="25">
      <c r="A25" s="6">
        <v>1024.0</v>
      </c>
      <c r="B25" s="7">
        <f>DATEVALUE('DATABASED '!B25)</f>
        <v>45681</v>
      </c>
      <c r="C25" s="6" t="s">
        <v>29</v>
      </c>
      <c r="D25" s="6" t="s">
        <v>19</v>
      </c>
      <c r="E25" s="8">
        <v>842483.0</v>
      </c>
      <c r="F25" s="6">
        <v>0.0</v>
      </c>
      <c r="G25" s="9">
        <v>0.0</v>
      </c>
      <c r="H25" s="6" t="s">
        <v>15</v>
      </c>
      <c r="I25" s="6" t="s">
        <v>12</v>
      </c>
      <c r="J25" s="10">
        <f t="shared" si="1"/>
        <v>842483</v>
      </c>
      <c r="K25" s="11">
        <f t="shared" si="2"/>
        <v>0</v>
      </c>
    </row>
    <row r="26">
      <c r="A26" s="6">
        <v>1025.0</v>
      </c>
      <c r="B26" s="7">
        <f>DATEVALUE('DATABASED '!B26)</f>
        <v>45682</v>
      </c>
      <c r="C26" s="6" t="s">
        <v>29</v>
      </c>
      <c r="D26" s="6" t="s">
        <v>19</v>
      </c>
      <c r="E26" s="8">
        <v>1358271.0</v>
      </c>
      <c r="F26" s="6">
        <v>0.0</v>
      </c>
      <c r="G26" s="9">
        <v>0.0</v>
      </c>
      <c r="H26" s="6" t="s">
        <v>15</v>
      </c>
      <c r="I26" s="6" t="s">
        <v>18</v>
      </c>
      <c r="J26" s="10">
        <f t="shared" si="1"/>
        <v>1358271</v>
      </c>
      <c r="K26" s="11">
        <f t="shared" si="2"/>
        <v>0</v>
      </c>
    </row>
    <row r="27">
      <c r="A27" s="6">
        <v>1026.0</v>
      </c>
      <c r="B27" s="7">
        <f>DATEVALUE('DATABASED '!B27)</f>
        <v>45683</v>
      </c>
      <c r="C27" s="6" t="s">
        <v>16</v>
      </c>
      <c r="D27" s="6" t="s">
        <v>19</v>
      </c>
      <c r="E27" s="8">
        <v>914835.0</v>
      </c>
      <c r="F27" s="6">
        <v>1.0</v>
      </c>
      <c r="G27" s="9">
        <v>250000.0</v>
      </c>
      <c r="H27" s="6" t="s">
        <v>15</v>
      </c>
      <c r="I27" s="6" t="s">
        <v>12</v>
      </c>
      <c r="J27" s="10">
        <f t="shared" si="1"/>
        <v>1164835</v>
      </c>
      <c r="K27" s="11">
        <f t="shared" si="2"/>
        <v>0</v>
      </c>
    </row>
    <row r="28">
      <c r="A28" s="6">
        <v>1027.0</v>
      </c>
      <c r="B28" s="7">
        <f>DATEVALUE('DATABASED '!B28)</f>
        <v>45684</v>
      </c>
      <c r="C28" s="6" t="s">
        <v>16</v>
      </c>
      <c r="D28" s="6" t="s">
        <v>10</v>
      </c>
      <c r="E28" s="8">
        <v>1101896.0</v>
      </c>
      <c r="F28" s="6">
        <v>0.0</v>
      </c>
      <c r="G28" s="9">
        <v>0.0</v>
      </c>
      <c r="H28" s="6" t="s">
        <v>15</v>
      </c>
      <c r="I28" s="6" t="s">
        <v>12</v>
      </c>
      <c r="J28" s="10">
        <f t="shared" si="1"/>
        <v>1101896</v>
      </c>
      <c r="K28" s="11">
        <f t="shared" si="2"/>
        <v>0</v>
      </c>
    </row>
    <row r="29">
      <c r="A29" s="6">
        <v>1028.0</v>
      </c>
      <c r="B29" s="7">
        <f>DATEVALUE('DATABASED '!B29)</f>
        <v>45685</v>
      </c>
      <c r="C29" s="6" t="s">
        <v>21</v>
      </c>
      <c r="D29" s="6" t="s">
        <v>14</v>
      </c>
      <c r="E29" s="8">
        <v>784896.0</v>
      </c>
      <c r="F29" s="6">
        <v>0.0</v>
      </c>
      <c r="G29" s="9">
        <v>0.0</v>
      </c>
      <c r="H29" s="6" t="s">
        <v>11</v>
      </c>
      <c r="I29" s="6" t="s">
        <v>20</v>
      </c>
      <c r="J29" s="10">
        <f t="shared" si="1"/>
        <v>784896</v>
      </c>
      <c r="K29" s="11">
        <f t="shared" si="2"/>
        <v>1</v>
      </c>
    </row>
    <row r="30">
      <c r="A30" s="6">
        <v>1029.0</v>
      </c>
      <c r="B30" s="7">
        <f>DATEVALUE('DATABASED '!B30)</f>
        <v>45686</v>
      </c>
      <c r="C30" s="6" t="s">
        <v>9</v>
      </c>
      <c r="D30" s="6" t="s">
        <v>10</v>
      </c>
      <c r="E30" s="8">
        <v>1177095.0</v>
      </c>
      <c r="F30" s="6">
        <v>1.0</v>
      </c>
      <c r="G30" s="9">
        <v>250000.0</v>
      </c>
      <c r="H30" s="6" t="s">
        <v>15</v>
      </c>
      <c r="I30" s="6" t="s">
        <v>12</v>
      </c>
      <c r="J30" s="10">
        <f t="shared" si="1"/>
        <v>1427095</v>
      </c>
      <c r="K30" s="11">
        <f t="shared" si="2"/>
        <v>0</v>
      </c>
    </row>
    <row r="31">
      <c r="A31" s="6">
        <v>1030.0</v>
      </c>
      <c r="B31" s="7">
        <f>DATEVALUE('DATABASED '!B31)</f>
        <v>45687</v>
      </c>
      <c r="C31" s="6" t="s">
        <v>9</v>
      </c>
      <c r="D31" s="6" t="s">
        <v>10</v>
      </c>
      <c r="E31" s="8">
        <v>771295.0</v>
      </c>
      <c r="F31" s="6">
        <v>1.0</v>
      </c>
      <c r="G31" s="9">
        <v>0.0</v>
      </c>
      <c r="H31" s="6" t="s">
        <v>11</v>
      </c>
      <c r="I31" s="6" t="s">
        <v>12</v>
      </c>
      <c r="J31" s="10">
        <f t="shared" si="1"/>
        <v>771295</v>
      </c>
      <c r="K31" s="11">
        <f t="shared" si="2"/>
        <v>1</v>
      </c>
    </row>
    <row r="32">
      <c r="A32" s="6">
        <v>1031.0</v>
      </c>
      <c r="B32" s="7">
        <f>DATEVALUE('DATABASED '!B32)</f>
        <v>45688</v>
      </c>
      <c r="C32" s="6" t="s">
        <v>16</v>
      </c>
      <c r="D32" s="6" t="s">
        <v>17</v>
      </c>
      <c r="E32" s="8">
        <v>1443974.0</v>
      </c>
      <c r="F32" s="6">
        <v>1.0</v>
      </c>
      <c r="G32" s="9">
        <v>0.0</v>
      </c>
      <c r="H32" s="6" t="s">
        <v>15</v>
      </c>
      <c r="I32" s="6" t="s">
        <v>20</v>
      </c>
      <c r="J32" s="10">
        <f t="shared" si="1"/>
        <v>1443974</v>
      </c>
      <c r="K32" s="11">
        <f t="shared" si="2"/>
        <v>0</v>
      </c>
    </row>
    <row r="33">
      <c r="A33" s="6">
        <v>1032.0</v>
      </c>
      <c r="B33" s="7">
        <f>DATEVALUE('DATABASED '!B33)</f>
        <v>45689</v>
      </c>
      <c r="C33" s="6" t="s">
        <v>9</v>
      </c>
      <c r="D33" s="6" t="s">
        <v>10</v>
      </c>
      <c r="E33" s="8">
        <v>1587121.0</v>
      </c>
      <c r="F33" s="6">
        <v>1.0</v>
      </c>
      <c r="G33" s="9">
        <v>0.0</v>
      </c>
      <c r="H33" s="6" t="s">
        <v>15</v>
      </c>
      <c r="I33" s="6" t="s">
        <v>18</v>
      </c>
      <c r="J33" s="10">
        <f t="shared" si="1"/>
        <v>1587121</v>
      </c>
      <c r="K33" s="11">
        <f t="shared" si="2"/>
        <v>0</v>
      </c>
    </row>
    <row r="34">
      <c r="A34" s="6">
        <v>1033.0</v>
      </c>
      <c r="B34" s="7">
        <f>DATEVALUE('DATABASED '!B34)</f>
        <v>45690</v>
      </c>
      <c r="C34" s="6" t="s">
        <v>9</v>
      </c>
      <c r="D34" s="6" t="s">
        <v>17</v>
      </c>
      <c r="E34" s="8">
        <v>2021831.0</v>
      </c>
      <c r="F34" s="6">
        <v>0.0</v>
      </c>
      <c r="G34" s="9">
        <v>0.0</v>
      </c>
      <c r="H34" s="6" t="s">
        <v>11</v>
      </c>
      <c r="I34" s="6" t="s">
        <v>18</v>
      </c>
      <c r="J34" s="10">
        <f t="shared" si="1"/>
        <v>2021831</v>
      </c>
      <c r="K34" s="11">
        <f t="shared" si="2"/>
        <v>1</v>
      </c>
    </row>
    <row r="35">
      <c r="A35" s="6">
        <v>1034.0</v>
      </c>
      <c r="B35" s="7">
        <f>DATEVALUE('DATABASED '!B35)</f>
        <v>45691</v>
      </c>
      <c r="C35" s="6" t="s">
        <v>29</v>
      </c>
      <c r="D35" s="6" t="s">
        <v>17</v>
      </c>
      <c r="E35" s="8">
        <v>2048224.0</v>
      </c>
      <c r="F35" s="6">
        <v>1.0</v>
      </c>
      <c r="G35" s="9">
        <v>200000.0</v>
      </c>
      <c r="H35" s="6" t="s">
        <v>11</v>
      </c>
      <c r="I35" s="6" t="s">
        <v>20</v>
      </c>
      <c r="J35" s="10">
        <f t="shared" si="1"/>
        <v>2248224</v>
      </c>
      <c r="K35" s="11">
        <f t="shared" si="2"/>
        <v>1</v>
      </c>
    </row>
    <row r="36">
      <c r="A36" s="6">
        <v>1035.0</v>
      </c>
      <c r="B36" s="7">
        <f>DATEVALUE('DATABASED '!B36)</f>
        <v>45692</v>
      </c>
      <c r="C36" s="6" t="s">
        <v>16</v>
      </c>
      <c r="D36" s="6" t="s">
        <v>10</v>
      </c>
      <c r="E36" s="8">
        <v>2405738.0</v>
      </c>
      <c r="F36" s="6">
        <v>1.0</v>
      </c>
      <c r="G36" s="9">
        <v>0.0</v>
      </c>
      <c r="H36" s="6" t="s">
        <v>15</v>
      </c>
      <c r="I36" s="6" t="s">
        <v>20</v>
      </c>
      <c r="J36" s="10">
        <f t="shared" si="1"/>
        <v>2405738</v>
      </c>
      <c r="K36" s="11">
        <f t="shared" si="2"/>
        <v>0</v>
      </c>
    </row>
    <row r="37">
      <c r="A37" s="6">
        <v>1036.0</v>
      </c>
      <c r="B37" s="7">
        <f>DATEVALUE('DATABASED '!B37)</f>
        <v>45693</v>
      </c>
      <c r="C37" s="6" t="s">
        <v>13</v>
      </c>
      <c r="D37" s="6" t="s">
        <v>14</v>
      </c>
      <c r="E37" s="8">
        <v>1756731.0</v>
      </c>
      <c r="F37" s="6">
        <v>0.0</v>
      </c>
      <c r="G37" s="9">
        <v>0.0</v>
      </c>
      <c r="H37" s="6" t="s">
        <v>15</v>
      </c>
      <c r="I37" s="6" t="s">
        <v>20</v>
      </c>
      <c r="J37" s="10">
        <f t="shared" si="1"/>
        <v>1756731</v>
      </c>
      <c r="K37" s="11">
        <f t="shared" si="2"/>
        <v>0</v>
      </c>
    </row>
    <row r="38">
      <c r="A38" s="6">
        <v>1037.0</v>
      </c>
      <c r="B38" s="7">
        <f>DATEVALUE('DATABASED '!B38)</f>
        <v>45694</v>
      </c>
      <c r="C38" s="6" t="s">
        <v>16</v>
      </c>
      <c r="D38" s="6" t="s">
        <v>14</v>
      </c>
      <c r="E38" s="8">
        <v>2215448.0</v>
      </c>
      <c r="F38" s="6">
        <v>1.0</v>
      </c>
      <c r="G38" s="9">
        <v>200000.0</v>
      </c>
      <c r="H38" s="6" t="s">
        <v>15</v>
      </c>
      <c r="I38" s="6" t="s">
        <v>20</v>
      </c>
      <c r="J38" s="10">
        <f t="shared" si="1"/>
        <v>2415448</v>
      </c>
      <c r="K38" s="11">
        <f t="shared" si="2"/>
        <v>0</v>
      </c>
    </row>
    <row r="39">
      <c r="A39" s="6">
        <v>1038.0</v>
      </c>
      <c r="B39" s="7">
        <f>DATEVALUE('DATABASED '!B39)</f>
        <v>45695</v>
      </c>
      <c r="C39" s="6" t="s">
        <v>13</v>
      </c>
      <c r="D39" s="6" t="s">
        <v>14</v>
      </c>
      <c r="E39" s="8">
        <v>1525816.0</v>
      </c>
      <c r="F39" s="6">
        <v>1.0</v>
      </c>
      <c r="G39" s="9">
        <v>0.0</v>
      </c>
      <c r="H39" s="6" t="s">
        <v>15</v>
      </c>
      <c r="I39" s="6" t="s">
        <v>20</v>
      </c>
      <c r="J39" s="10">
        <f t="shared" si="1"/>
        <v>1525816</v>
      </c>
      <c r="K39" s="11">
        <f t="shared" si="2"/>
        <v>0</v>
      </c>
    </row>
    <row r="40">
      <c r="A40" s="6">
        <v>1039.0</v>
      </c>
      <c r="B40" s="7">
        <f>DATEVALUE('DATABASED '!B40)</f>
        <v>45696</v>
      </c>
      <c r="C40" s="6" t="s">
        <v>29</v>
      </c>
      <c r="D40" s="6" t="s">
        <v>14</v>
      </c>
      <c r="E40" s="8">
        <v>1074705.0</v>
      </c>
      <c r="F40" s="6">
        <v>1.0</v>
      </c>
      <c r="G40" s="9">
        <v>0.0</v>
      </c>
      <c r="H40" s="6" t="s">
        <v>15</v>
      </c>
      <c r="I40" s="6" t="s">
        <v>18</v>
      </c>
      <c r="J40" s="10">
        <f t="shared" si="1"/>
        <v>1074705</v>
      </c>
      <c r="K40" s="11">
        <f t="shared" si="2"/>
        <v>0</v>
      </c>
    </row>
    <row r="41">
      <c r="A41" s="6">
        <v>1040.0</v>
      </c>
      <c r="B41" s="7">
        <f>DATEVALUE('DATABASED '!B41)</f>
        <v>45697</v>
      </c>
      <c r="C41" s="6" t="s">
        <v>21</v>
      </c>
      <c r="D41" s="6" t="s">
        <v>14</v>
      </c>
      <c r="E41" s="8">
        <v>2320118.0</v>
      </c>
      <c r="F41" s="6">
        <v>1.0</v>
      </c>
      <c r="G41" s="9">
        <v>250000.0</v>
      </c>
      <c r="H41" s="6" t="s">
        <v>15</v>
      </c>
      <c r="I41" s="6" t="s">
        <v>18</v>
      </c>
      <c r="J41" s="10">
        <f t="shared" si="1"/>
        <v>2570118</v>
      </c>
      <c r="K41" s="11">
        <f t="shared" si="2"/>
        <v>0</v>
      </c>
    </row>
    <row r="42">
      <c r="A42" s="6">
        <v>1041.0</v>
      </c>
      <c r="B42" s="7">
        <f>DATEVALUE('DATABASED '!B42)</f>
        <v>45698</v>
      </c>
      <c r="C42" s="6" t="s">
        <v>9</v>
      </c>
      <c r="D42" s="6" t="s">
        <v>10</v>
      </c>
      <c r="E42" s="8">
        <v>2358845.0</v>
      </c>
      <c r="F42" s="6">
        <v>1.0</v>
      </c>
      <c r="G42" s="9">
        <v>150000.0</v>
      </c>
      <c r="H42" s="6" t="s">
        <v>15</v>
      </c>
      <c r="I42" s="6" t="s">
        <v>20</v>
      </c>
      <c r="J42" s="10">
        <f t="shared" si="1"/>
        <v>2508845</v>
      </c>
      <c r="K42" s="11">
        <f t="shared" si="2"/>
        <v>0</v>
      </c>
    </row>
    <row r="43">
      <c r="A43" s="6">
        <v>1042.0</v>
      </c>
      <c r="B43" s="7">
        <f>DATEVALUE('DATABASED '!B43)</f>
        <v>45699</v>
      </c>
      <c r="C43" s="6" t="s">
        <v>29</v>
      </c>
      <c r="D43" s="6" t="s">
        <v>10</v>
      </c>
      <c r="E43" s="8">
        <v>1254594.0</v>
      </c>
      <c r="F43" s="6">
        <v>0.0</v>
      </c>
      <c r="G43" s="9">
        <v>0.0</v>
      </c>
      <c r="H43" s="6" t="s">
        <v>15</v>
      </c>
      <c r="I43" s="6" t="s">
        <v>12</v>
      </c>
      <c r="J43" s="10">
        <f t="shared" si="1"/>
        <v>1254594</v>
      </c>
      <c r="K43" s="11">
        <f t="shared" si="2"/>
        <v>0</v>
      </c>
    </row>
    <row r="44">
      <c r="A44" s="6">
        <v>1043.0</v>
      </c>
      <c r="B44" s="7">
        <f>DATEVALUE('DATABASED '!B44)</f>
        <v>45700</v>
      </c>
      <c r="C44" s="6" t="s">
        <v>9</v>
      </c>
      <c r="D44" s="6" t="s">
        <v>19</v>
      </c>
      <c r="E44" s="8">
        <v>847718.0</v>
      </c>
      <c r="F44" s="6">
        <v>0.0</v>
      </c>
      <c r="G44" s="9">
        <v>0.0</v>
      </c>
      <c r="H44" s="6" t="s">
        <v>11</v>
      </c>
      <c r="I44" s="6" t="s">
        <v>20</v>
      </c>
      <c r="J44" s="10">
        <f t="shared" si="1"/>
        <v>847718</v>
      </c>
      <c r="K44" s="11">
        <f t="shared" si="2"/>
        <v>1</v>
      </c>
    </row>
    <row r="45">
      <c r="A45" s="6">
        <v>1044.0</v>
      </c>
      <c r="B45" s="7">
        <f>DATEVALUE('DATABASED '!B45)</f>
        <v>45701</v>
      </c>
      <c r="C45" s="6" t="s">
        <v>21</v>
      </c>
      <c r="D45" s="6" t="s">
        <v>14</v>
      </c>
      <c r="E45" s="8">
        <v>2057563.0</v>
      </c>
      <c r="F45" s="6">
        <v>1.0</v>
      </c>
      <c r="G45" s="9">
        <v>0.0</v>
      </c>
      <c r="H45" s="6" t="s">
        <v>15</v>
      </c>
      <c r="I45" s="6" t="s">
        <v>12</v>
      </c>
      <c r="J45" s="10">
        <f t="shared" si="1"/>
        <v>2057563</v>
      </c>
      <c r="K45" s="11">
        <f t="shared" si="2"/>
        <v>0</v>
      </c>
    </row>
    <row r="46">
      <c r="A46" s="6">
        <v>1045.0</v>
      </c>
      <c r="B46" s="7">
        <f>DATEVALUE('DATABASED '!B46)</f>
        <v>45702</v>
      </c>
      <c r="C46" s="6" t="s">
        <v>21</v>
      </c>
      <c r="D46" s="6" t="s">
        <v>10</v>
      </c>
      <c r="E46" s="8">
        <v>1345263.0</v>
      </c>
      <c r="F46" s="6">
        <v>1.0</v>
      </c>
      <c r="G46" s="9">
        <v>0.0</v>
      </c>
      <c r="H46" s="6" t="s">
        <v>15</v>
      </c>
      <c r="I46" s="6" t="s">
        <v>20</v>
      </c>
      <c r="J46" s="10">
        <f t="shared" si="1"/>
        <v>1345263</v>
      </c>
      <c r="K46" s="11">
        <f t="shared" si="2"/>
        <v>0</v>
      </c>
    </row>
    <row r="47">
      <c r="A47" s="6">
        <v>1046.0</v>
      </c>
      <c r="B47" s="7">
        <f>DATEVALUE('DATABASED '!B47)</f>
        <v>45703</v>
      </c>
      <c r="C47" s="6" t="s">
        <v>29</v>
      </c>
      <c r="D47" s="6" t="s">
        <v>19</v>
      </c>
      <c r="E47" s="8">
        <v>2107321.0</v>
      </c>
      <c r="F47" s="6">
        <v>1.0</v>
      </c>
      <c r="G47" s="9">
        <v>250000.0</v>
      </c>
      <c r="H47" s="6" t="s">
        <v>15</v>
      </c>
      <c r="I47" s="6" t="s">
        <v>20</v>
      </c>
      <c r="J47" s="10">
        <f t="shared" si="1"/>
        <v>2357321</v>
      </c>
      <c r="K47" s="11">
        <f t="shared" si="2"/>
        <v>0</v>
      </c>
    </row>
    <row r="48">
      <c r="A48" s="6">
        <v>1047.0</v>
      </c>
      <c r="B48" s="7">
        <f>DATEVALUE('DATABASED '!B48)</f>
        <v>45704</v>
      </c>
      <c r="C48" s="6" t="s">
        <v>21</v>
      </c>
      <c r="D48" s="6" t="s">
        <v>14</v>
      </c>
      <c r="E48" s="8">
        <v>1708239.0</v>
      </c>
      <c r="F48" s="6">
        <v>1.0</v>
      </c>
      <c r="G48" s="9">
        <v>200000.0</v>
      </c>
      <c r="H48" s="6" t="s">
        <v>15</v>
      </c>
      <c r="I48" s="6" t="s">
        <v>18</v>
      </c>
      <c r="J48" s="10">
        <f t="shared" si="1"/>
        <v>1908239</v>
      </c>
      <c r="K48" s="11">
        <f t="shared" si="2"/>
        <v>0</v>
      </c>
    </row>
    <row r="49">
      <c r="A49" s="6">
        <v>1048.0</v>
      </c>
      <c r="B49" s="7">
        <f>DATEVALUE('DATABASED '!B49)</f>
        <v>45705</v>
      </c>
      <c r="C49" s="6" t="s">
        <v>13</v>
      </c>
      <c r="D49" s="6" t="s">
        <v>17</v>
      </c>
      <c r="E49" s="8">
        <v>807512.0</v>
      </c>
      <c r="F49" s="6">
        <v>1.0</v>
      </c>
      <c r="G49" s="9">
        <v>150000.0</v>
      </c>
      <c r="H49" s="6" t="s">
        <v>15</v>
      </c>
      <c r="I49" s="6" t="s">
        <v>12</v>
      </c>
      <c r="J49" s="10">
        <f t="shared" si="1"/>
        <v>957512</v>
      </c>
      <c r="K49" s="11">
        <f t="shared" si="2"/>
        <v>0</v>
      </c>
    </row>
    <row r="50">
      <c r="A50" s="6">
        <v>1049.0</v>
      </c>
      <c r="B50" s="7">
        <f>DATEVALUE('DATABASED '!B50)</f>
        <v>45706</v>
      </c>
      <c r="C50" s="6" t="s">
        <v>21</v>
      </c>
      <c r="D50" s="6" t="s">
        <v>19</v>
      </c>
      <c r="E50" s="8">
        <v>847443.0</v>
      </c>
      <c r="F50" s="6">
        <v>1.0</v>
      </c>
      <c r="G50" s="9">
        <v>150000.0</v>
      </c>
      <c r="H50" s="6" t="s">
        <v>15</v>
      </c>
      <c r="I50" s="6" t="s">
        <v>12</v>
      </c>
      <c r="J50" s="10">
        <f t="shared" si="1"/>
        <v>997443</v>
      </c>
      <c r="K50" s="11">
        <f t="shared" si="2"/>
        <v>0</v>
      </c>
    </row>
    <row r="51">
      <c r="A51" s="6">
        <v>1050.0</v>
      </c>
      <c r="B51" s="7">
        <f>DATEVALUE('DATABASED '!B51)</f>
        <v>45707</v>
      </c>
      <c r="C51" s="6" t="s">
        <v>9</v>
      </c>
      <c r="D51" s="6" t="s">
        <v>10</v>
      </c>
      <c r="E51" s="8">
        <v>2219163.0</v>
      </c>
      <c r="F51" s="6">
        <v>1.0</v>
      </c>
      <c r="G51" s="9">
        <v>0.0</v>
      </c>
      <c r="H51" s="6" t="s">
        <v>11</v>
      </c>
      <c r="I51" s="6" t="s">
        <v>18</v>
      </c>
      <c r="J51" s="10">
        <f t="shared" si="1"/>
        <v>2219163</v>
      </c>
      <c r="K51" s="11">
        <f t="shared" si="2"/>
        <v>1</v>
      </c>
    </row>
    <row r="52">
      <c r="A52" s="6">
        <v>1051.0</v>
      </c>
      <c r="B52" s="7">
        <f>DATEVALUE('DATABASED '!B52)</f>
        <v>45708</v>
      </c>
      <c r="C52" s="6" t="s">
        <v>9</v>
      </c>
      <c r="D52" s="6" t="s">
        <v>17</v>
      </c>
      <c r="E52" s="8">
        <v>1073616.0</v>
      </c>
      <c r="F52" s="6">
        <v>1.0</v>
      </c>
      <c r="G52" s="9">
        <v>200000.0</v>
      </c>
      <c r="H52" s="6" t="s">
        <v>15</v>
      </c>
      <c r="I52" s="6" t="s">
        <v>18</v>
      </c>
      <c r="J52" s="10">
        <f t="shared" si="1"/>
        <v>1273616</v>
      </c>
      <c r="K52" s="11">
        <f t="shared" si="2"/>
        <v>0</v>
      </c>
    </row>
    <row r="53">
      <c r="A53" s="6">
        <v>1052.0</v>
      </c>
      <c r="B53" s="7">
        <f>DATEVALUE('DATABASED '!B53)</f>
        <v>45709</v>
      </c>
      <c r="C53" s="6" t="s">
        <v>9</v>
      </c>
      <c r="D53" s="6" t="s">
        <v>17</v>
      </c>
      <c r="E53" s="8">
        <v>1357409.0</v>
      </c>
      <c r="F53" s="6">
        <v>1.0</v>
      </c>
      <c r="G53" s="9">
        <v>150000.0</v>
      </c>
      <c r="H53" s="6" t="s">
        <v>11</v>
      </c>
      <c r="I53" s="6" t="s">
        <v>18</v>
      </c>
      <c r="J53" s="10">
        <f t="shared" si="1"/>
        <v>1507409</v>
      </c>
      <c r="K53" s="11">
        <f t="shared" si="2"/>
        <v>1</v>
      </c>
    </row>
    <row r="54">
      <c r="A54" s="6">
        <v>1053.0</v>
      </c>
      <c r="B54" s="7">
        <f>DATEVALUE('DATABASED '!B54)</f>
        <v>45710</v>
      </c>
      <c r="C54" s="6" t="s">
        <v>9</v>
      </c>
      <c r="D54" s="6" t="s">
        <v>17</v>
      </c>
      <c r="E54" s="8">
        <v>1386976.0</v>
      </c>
      <c r="F54" s="6">
        <v>1.0</v>
      </c>
      <c r="G54" s="9">
        <v>200000.0</v>
      </c>
      <c r="H54" s="6" t="s">
        <v>15</v>
      </c>
      <c r="I54" s="6" t="s">
        <v>18</v>
      </c>
      <c r="J54" s="10">
        <f t="shared" si="1"/>
        <v>1586976</v>
      </c>
      <c r="K54" s="11">
        <f t="shared" si="2"/>
        <v>0</v>
      </c>
    </row>
    <row r="55">
      <c r="A55" s="6">
        <v>1054.0</v>
      </c>
      <c r="B55" s="7">
        <f>DATEVALUE('DATABASED '!B55)</f>
        <v>45711</v>
      </c>
      <c r="C55" s="6" t="s">
        <v>13</v>
      </c>
      <c r="D55" s="6" t="s">
        <v>19</v>
      </c>
      <c r="E55" s="8">
        <v>2114447.0</v>
      </c>
      <c r="F55" s="6">
        <v>1.0</v>
      </c>
      <c r="G55" s="9">
        <v>200000.0</v>
      </c>
      <c r="H55" s="6" t="s">
        <v>15</v>
      </c>
      <c r="I55" s="6" t="s">
        <v>12</v>
      </c>
      <c r="J55" s="10">
        <f t="shared" si="1"/>
        <v>2314447</v>
      </c>
      <c r="K55" s="11">
        <f t="shared" si="2"/>
        <v>0</v>
      </c>
    </row>
    <row r="56">
      <c r="A56" s="6">
        <v>1055.0</v>
      </c>
      <c r="B56" s="7">
        <f>DATEVALUE('DATABASED '!B56)</f>
        <v>45712</v>
      </c>
      <c r="C56" s="6" t="s">
        <v>16</v>
      </c>
      <c r="D56" s="6" t="s">
        <v>10</v>
      </c>
      <c r="E56" s="8">
        <v>1075037.0</v>
      </c>
      <c r="F56" s="6">
        <v>0.0</v>
      </c>
      <c r="G56" s="9">
        <v>0.0</v>
      </c>
      <c r="H56" s="6" t="s">
        <v>15</v>
      </c>
      <c r="I56" s="6" t="s">
        <v>12</v>
      </c>
      <c r="J56" s="10">
        <f t="shared" si="1"/>
        <v>1075037</v>
      </c>
      <c r="K56" s="11">
        <f t="shared" si="2"/>
        <v>0</v>
      </c>
    </row>
    <row r="57">
      <c r="A57" s="6">
        <v>1056.0</v>
      </c>
      <c r="B57" s="7">
        <f>DATEVALUE('DATABASED '!B57)</f>
        <v>45713</v>
      </c>
      <c r="C57" s="6" t="s">
        <v>29</v>
      </c>
      <c r="D57" s="6" t="s">
        <v>17</v>
      </c>
      <c r="E57" s="8">
        <v>1744107.0</v>
      </c>
      <c r="F57" s="6">
        <v>0.0</v>
      </c>
      <c r="G57" s="9">
        <v>0.0</v>
      </c>
      <c r="H57" s="6" t="s">
        <v>15</v>
      </c>
      <c r="I57" s="6" t="s">
        <v>20</v>
      </c>
      <c r="J57" s="10">
        <f t="shared" si="1"/>
        <v>1744107</v>
      </c>
      <c r="K57" s="11">
        <f t="shared" si="2"/>
        <v>0</v>
      </c>
    </row>
    <row r="58">
      <c r="A58" s="6">
        <v>1057.0</v>
      </c>
      <c r="B58" s="7">
        <f>DATEVALUE('DATABASED '!B58)</f>
        <v>45714</v>
      </c>
      <c r="C58" s="6" t="s">
        <v>9</v>
      </c>
      <c r="D58" s="6" t="s">
        <v>14</v>
      </c>
      <c r="E58" s="8">
        <v>1507364.0</v>
      </c>
      <c r="F58" s="6">
        <v>0.0</v>
      </c>
      <c r="G58" s="9">
        <v>0.0</v>
      </c>
      <c r="H58" s="6" t="s">
        <v>15</v>
      </c>
      <c r="I58" s="6" t="s">
        <v>20</v>
      </c>
      <c r="J58" s="10">
        <f t="shared" si="1"/>
        <v>1507364</v>
      </c>
      <c r="K58" s="11">
        <f t="shared" si="2"/>
        <v>0</v>
      </c>
    </row>
    <row r="59">
      <c r="A59" s="6">
        <v>1058.0</v>
      </c>
      <c r="B59" s="7">
        <f>DATEVALUE('DATABASED '!B59)</f>
        <v>45715</v>
      </c>
      <c r="C59" s="6" t="s">
        <v>21</v>
      </c>
      <c r="D59" s="6" t="s">
        <v>17</v>
      </c>
      <c r="E59" s="8">
        <v>817796.0</v>
      </c>
      <c r="F59" s="6">
        <v>1.0</v>
      </c>
      <c r="G59" s="9">
        <v>0.0</v>
      </c>
      <c r="H59" s="6" t="s">
        <v>15</v>
      </c>
      <c r="I59" s="6" t="s">
        <v>18</v>
      </c>
      <c r="J59" s="10">
        <f t="shared" si="1"/>
        <v>817796</v>
      </c>
      <c r="K59" s="11">
        <f t="shared" si="2"/>
        <v>0</v>
      </c>
    </row>
    <row r="60">
      <c r="A60" s="6">
        <v>1059.0</v>
      </c>
      <c r="B60" s="7">
        <f>DATEVALUE('DATABASED '!B60)</f>
        <v>45716</v>
      </c>
      <c r="C60" s="6" t="s">
        <v>9</v>
      </c>
      <c r="D60" s="6" t="s">
        <v>17</v>
      </c>
      <c r="E60" s="8">
        <v>2040575.0</v>
      </c>
      <c r="F60" s="6">
        <v>0.0</v>
      </c>
      <c r="G60" s="9">
        <v>0.0</v>
      </c>
      <c r="H60" s="6" t="s">
        <v>15</v>
      </c>
      <c r="I60" s="6" t="s">
        <v>18</v>
      </c>
      <c r="J60" s="10">
        <f t="shared" si="1"/>
        <v>2040575</v>
      </c>
      <c r="K60" s="11">
        <f t="shared" si="2"/>
        <v>0</v>
      </c>
    </row>
    <row r="61">
      <c r="A61" s="6">
        <v>1060.0</v>
      </c>
      <c r="B61" s="7">
        <f>DATEVALUE('DATABASED '!B61)</f>
        <v>45717</v>
      </c>
      <c r="C61" s="6" t="s">
        <v>21</v>
      </c>
      <c r="D61" s="6" t="s">
        <v>19</v>
      </c>
      <c r="E61" s="8">
        <v>1941082.0</v>
      </c>
      <c r="F61" s="6">
        <v>1.0</v>
      </c>
      <c r="G61" s="9">
        <v>150000.0</v>
      </c>
      <c r="H61" s="6" t="s">
        <v>15</v>
      </c>
      <c r="I61" s="6" t="s">
        <v>18</v>
      </c>
      <c r="J61" s="10">
        <f t="shared" si="1"/>
        <v>2091082</v>
      </c>
      <c r="K61" s="11">
        <f t="shared" si="2"/>
        <v>0</v>
      </c>
    </row>
    <row r="62">
      <c r="A62" s="6">
        <v>1061.0</v>
      </c>
      <c r="B62" s="7">
        <f>DATEVALUE('DATABASED '!B62)</f>
        <v>45718</v>
      </c>
      <c r="C62" s="6" t="s">
        <v>21</v>
      </c>
      <c r="D62" s="6" t="s">
        <v>19</v>
      </c>
      <c r="E62" s="8">
        <v>1690198.0</v>
      </c>
      <c r="F62" s="6">
        <v>1.0</v>
      </c>
      <c r="G62" s="9">
        <v>150000.0</v>
      </c>
      <c r="H62" s="6" t="s">
        <v>15</v>
      </c>
      <c r="I62" s="6" t="s">
        <v>20</v>
      </c>
      <c r="J62" s="10">
        <f t="shared" si="1"/>
        <v>1840198</v>
      </c>
      <c r="K62" s="11">
        <f t="shared" si="2"/>
        <v>0</v>
      </c>
    </row>
    <row r="63">
      <c r="A63" s="6">
        <v>1062.0</v>
      </c>
      <c r="B63" s="7">
        <f>DATEVALUE('DATABASED '!B63)</f>
        <v>45719</v>
      </c>
      <c r="C63" s="6" t="s">
        <v>9</v>
      </c>
      <c r="D63" s="6" t="s">
        <v>10</v>
      </c>
      <c r="E63" s="8">
        <v>1398376.0</v>
      </c>
      <c r="F63" s="6">
        <v>0.0</v>
      </c>
      <c r="G63" s="9">
        <v>0.0</v>
      </c>
      <c r="H63" s="6" t="s">
        <v>15</v>
      </c>
      <c r="I63" s="6" t="s">
        <v>20</v>
      </c>
      <c r="J63" s="10">
        <f t="shared" si="1"/>
        <v>1398376</v>
      </c>
      <c r="K63" s="11">
        <f t="shared" si="2"/>
        <v>0</v>
      </c>
    </row>
    <row r="64">
      <c r="A64" s="6">
        <v>1063.0</v>
      </c>
      <c r="B64" s="7">
        <f>DATEVALUE('DATABASED '!B64)</f>
        <v>45720</v>
      </c>
      <c r="C64" s="6" t="s">
        <v>13</v>
      </c>
      <c r="D64" s="6" t="s">
        <v>14</v>
      </c>
      <c r="E64" s="8">
        <v>969544.0</v>
      </c>
      <c r="F64" s="6">
        <v>1.0</v>
      </c>
      <c r="G64" s="9">
        <v>150000.0</v>
      </c>
      <c r="H64" s="6" t="s">
        <v>15</v>
      </c>
      <c r="I64" s="6" t="s">
        <v>20</v>
      </c>
      <c r="J64" s="10">
        <f t="shared" si="1"/>
        <v>1119544</v>
      </c>
      <c r="K64" s="11">
        <f t="shared" si="2"/>
        <v>0</v>
      </c>
    </row>
    <row r="65">
      <c r="A65" s="6">
        <v>1064.0</v>
      </c>
      <c r="B65" s="7">
        <f>DATEVALUE('DATABASED '!B65)</f>
        <v>45721</v>
      </c>
      <c r="C65" s="6" t="s">
        <v>21</v>
      </c>
      <c r="D65" s="6" t="s">
        <v>19</v>
      </c>
      <c r="E65" s="8">
        <v>1080002.0</v>
      </c>
      <c r="F65" s="6">
        <v>0.0</v>
      </c>
      <c r="G65" s="9">
        <v>0.0</v>
      </c>
      <c r="H65" s="6" t="s">
        <v>11</v>
      </c>
      <c r="I65" s="6" t="s">
        <v>20</v>
      </c>
      <c r="J65" s="10">
        <f t="shared" si="1"/>
        <v>1080002</v>
      </c>
      <c r="K65" s="11">
        <f t="shared" si="2"/>
        <v>1</v>
      </c>
    </row>
    <row r="66">
      <c r="A66" s="6">
        <v>1065.0</v>
      </c>
      <c r="B66" s="7">
        <f>DATEVALUE('DATABASED '!B66)</f>
        <v>45722</v>
      </c>
      <c r="C66" s="6" t="s">
        <v>21</v>
      </c>
      <c r="D66" s="6" t="s">
        <v>17</v>
      </c>
      <c r="E66" s="8">
        <v>1398002.0</v>
      </c>
      <c r="F66" s="6">
        <v>0.0</v>
      </c>
      <c r="G66" s="9">
        <v>0.0</v>
      </c>
      <c r="H66" s="6" t="s">
        <v>15</v>
      </c>
      <c r="I66" s="6" t="s">
        <v>20</v>
      </c>
      <c r="J66" s="10">
        <f t="shared" si="1"/>
        <v>1398002</v>
      </c>
      <c r="K66" s="11">
        <f t="shared" si="2"/>
        <v>0</v>
      </c>
    </row>
    <row r="67">
      <c r="A67" s="6">
        <v>1066.0</v>
      </c>
      <c r="B67" s="7">
        <f>DATEVALUE('DATABASED '!B67)</f>
        <v>45723</v>
      </c>
      <c r="C67" s="6" t="s">
        <v>9</v>
      </c>
      <c r="D67" s="6" t="s">
        <v>10</v>
      </c>
      <c r="E67" s="8">
        <v>2288015.0</v>
      </c>
      <c r="F67" s="6">
        <v>1.0</v>
      </c>
      <c r="G67" s="9">
        <v>200000.0</v>
      </c>
      <c r="H67" s="6" t="s">
        <v>11</v>
      </c>
      <c r="I67" s="6" t="s">
        <v>20</v>
      </c>
      <c r="J67" s="10">
        <f t="shared" si="1"/>
        <v>2488015</v>
      </c>
      <c r="K67" s="11">
        <f t="shared" si="2"/>
        <v>1</v>
      </c>
    </row>
    <row r="68">
      <c r="A68" s="6">
        <v>1067.0</v>
      </c>
      <c r="B68" s="7">
        <f>DATEVALUE('DATABASED '!B68)</f>
        <v>45724</v>
      </c>
      <c r="C68" s="6" t="s">
        <v>21</v>
      </c>
      <c r="D68" s="6" t="s">
        <v>17</v>
      </c>
      <c r="E68" s="8">
        <v>1290978.0</v>
      </c>
      <c r="F68" s="6">
        <v>0.0</v>
      </c>
      <c r="G68" s="9">
        <v>0.0</v>
      </c>
      <c r="H68" s="6" t="s">
        <v>15</v>
      </c>
      <c r="I68" s="6" t="s">
        <v>20</v>
      </c>
      <c r="J68" s="10">
        <f t="shared" si="1"/>
        <v>1290978</v>
      </c>
      <c r="K68" s="11">
        <f t="shared" si="2"/>
        <v>0</v>
      </c>
    </row>
    <row r="69">
      <c r="A69" s="6">
        <v>1068.0</v>
      </c>
      <c r="B69" s="7">
        <f>DATEVALUE('DATABASED '!B69)</f>
        <v>45725</v>
      </c>
      <c r="C69" s="6" t="s">
        <v>21</v>
      </c>
      <c r="D69" s="6" t="s">
        <v>17</v>
      </c>
      <c r="E69" s="8">
        <v>2277363.0</v>
      </c>
      <c r="F69" s="6">
        <v>0.0</v>
      </c>
      <c r="G69" s="9">
        <v>0.0</v>
      </c>
      <c r="H69" s="6" t="s">
        <v>15</v>
      </c>
      <c r="I69" s="6" t="s">
        <v>18</v>
      </c>
      <c r="J69" s="10">
        <f t="shared" si="1"/>
        <v>2277363</v>
      </c>
      <c r="K69" s="11">
        <f t="shared" si="2"/>
        <v>0</v>
      </c>
    </row>
    <row r="70">
      <c r="A70" s="6">
        <v>1069.0</v>
      </c>
      <c r="B70" s="7">
        <f>DATEVALUE('DATABASED '!B70)</f>
        <v>45726</v>
      </c>
      <c r="C70" s="6" t="s">
        <v>9</v>
      </c>
      <c r="D70" s="6" t="s">
        <v>19</v>
      </c>
      <c r="E70" s="8">
        <v>2279159.0</v>
      </c>
      <c r="F70" s="6">
        <v>1.0</v>
      </c>
      <c r="G70" s="9">
        <v>0.0</v>
      </c>
      <c r="H70" s="6" t="s">
        <v>15</v>
      </c>
      <c r="I70" s="6" t="s">
        <v>18</v>
      </c>
      <c r="J70" s="10">
        <f t="shared" si="1"/>
        <v>2279159</v>
      </c>
      <c r="K70" s="11">
        <f t="shared" si="2"/>
        <v>0</v>
      </c>
    </row>
    <row r="71">
      <c r="A71" s="6">
        <v>1070.0</v>
      </c>
      <c r="B71" s="7">
        <f>DATEVALUE('DATABASED '!B71)</f>
        <v>45727</v>
      </c>
      <c r="C71" s="6" t="s">
        <v>9</v>
      </c>
      <c r="D71" s="6" t="s">
        <v>10</v>
      </c>
      <c r="E71" s="8">
        <v>1607317.0</v>
      </c>
      <c r="F71" s="6">
        <v>1.0</v>
      </c>
      <c r="G71" s="9">
        <v>150000.0</v>
      </c>
      <c r="H71" s="6" t="s">
        <v>11</v>
      </c>
      <c r="I71" s="6" t="s">
        <v>18</v>
      </c>
      <c r="J71" s="10">
        <f t="shared" si="1"/>
        <v>1757317</v>
      </c>
      <c r="K71" s="11">
        <f t="shared" si="2"/>
        <v>1</v>
      </c>
    </row>
    <row r="72">
      <c r="A72" s="6">
        <v>1071.0</v>
      </c>
      <c r="B72" s="7">
        <f>DATEVALUE('DATABASED '!B72)</f>
        <v>45728</v>
      </c>
      <c r="C72" s="6" t="s">
        <v>29</v>
      </c>
      <c r="D72" s="6" t="s">
        <v>14</v>
      </c>
      <c r="E72" s="8">
        <v>1088215.0</v>
      </c>
      <c r="F72" s="6">
        <v>0.0</v>
      </c>
      <c r="G72" s="9">
        <v>0.0</v>
      </c>
      <c r="H72" s="6" t="s">
        <v>15</v>
      </c>
      <c r="I72" s="6" t="s">
        <v>18</v>
      </c>
      <c r="J72" s="10">
        <f t="shared" si="1"/>
        <v>1088215</v>
      </c>
      <c r="K72" s="11">
        <f t="shared" si="2"/>
        <v>0</v>
      </c>
    </row>
    <row r="73">
      <c r="A73" s="6">
        <v>1072.0</v>
      </c>
      <c r="B73" s="7">
        <f>DATEVALUE('DATABASED '!B73)</f>
        <v>45729</v>
      </c>
      <c r="C73" s="6" t="s">
        <v>13</v>
      </c>
      <c r="D73" s="6" t="s">
        <v>14</v>
      </c>
      <c r="E73" s="8">
        <v>1021184.0</v>
      </c>
      <c r="F73" s="6">
        <v>1.0</v>
      </c>
      <c r="G73" s="9">
        <v>200000.0</v>
      </c>
      <c r="H73" s="6" t="s">
        <v>15</v>
      </c>
      <c r="I73" s="6" t="s">
        <v>20</v>
      </c>
      <c r="J73" s="10">
        <f t="shared" si="1"/>
        <v>1221184</v>
      </c>
      <c r="K73" s="11">
        <f t="shared" si="2"/>
        <v>0</v>
      </c>
    </row>
    <row r="74">
      <c r="A74" s="6">
        <v>1073.0</v>
      </c>
      <c r="B74" s="7">
        <f>DATEVALUE('DATABASED '!B74)</f>
        <v>45730</v>
      </c>
      <c r="C74" s="6" t="s">
        <v>13</v>
      </c>
      <c r="D74" s="6" t="s">
        <v>19</v>
      </c>
      <c r="E74" s="8">
        <v>2171091.0</v>
      </c>
      <c r="F74" s="6">
        <v>0.0</v>
      </c>
      <c r="G74" s="9">
        <v>0.0</v>
      </c>
      <c r="H74" s="6" t="s">
        <v>15</v>
      </c>
      <c r="I74" s="6" t="s">
        <v>12</v>
      </c>
      <c r="J74" s="10">
        <f t="shared" si="1"/>
        <v>2171091</v>
      </c>
      <c r="K74" s="11">
        <f t="shared" si="2"/>
        <v>0</v>
      </c>
    </row>
    <row r="75">
      <c r="A75" s="6">
        <v>1074.0</v>
      </c>
      <c r="B75" s="7">
        <f>DATEVALUE('DATABASED '!B75)</f>
        <v>45731</v>
      </c>
      <c r="C75" s="6" t="s">
        <v>21</v>
      </c>
      <c r="D75" s="6" t="s">
        <v>19</v>
      </c>
      <c r="E75" s="8">
        <v>1368234.0</v>
      </c>
      <c r="F75" s="6">
        <v>0.0</v>
      </c>
      <c r="G75" s="9">
        <v>0.0</v>
      </c>
      <c r="H75" s="6" t="s">
        <v>15</v>
      </c>
      <c r="I75" s="6" t="s">
        <v>20</v>
      </c>
      <c r="J75" s="10">
        <f t="shared" si="1"/>
        <v>1368234</v>
      </c>
      <c r="K75" s="11">
        <f t="shared" si="2"/>
        <v>0</v>
      </c>
    </row>
    <row r="76">
      <c r="A76" s="6">
        <v>1075.0</v>
      </c>
      <c r="B76" s="7">
        <f>DATEVALUE('DATABASED '!B76)</f>
        <v>45732</v>
      </c>
      <c r="C76" s="6" t="s">
        <v>13</v>
      </c>
      <c r="D76" s="6" t="s">
        <v>10</v>
      </c>
      <c r="E76" s="8">
        <v>1078480.0</v>
      </c>
      <c r="F76" s="6">
        <v>1.0</v>
      </c>
      <c r="G76" s="9">
        <v>250000.0</v>
      </c>
      <c r="H76" s="6" t="s">
        <v>15</v>
      </c>
      <c r="I76" s="6" t="s">
        <v>12</v>
      </c>
      <c r="J76" s="10">
        <f t="shared" si="1"/>
        <v>1328480</v>
      </c>
      <c r="K76" s="11">
        <f t="shared" si="2"/>
        <v>0</v>
      </c>
    </row>
    <row r="77">
      <c r="A77" s="6">
        <v>1076.0</v>
      </c>
      <c r="B77" s="7">
        <f>DATEVALUE('DATABASED '!B77)</f>
        <v>45733</v>
      </c>
      <c r="C77" s="6" t="s">
        <v>21</v>
      </c>
      <c r="D77" s="6" t="s">
        <v>14</v>
      </c>
      <c r="E77" s="8">
        <v>732711.0</v>
      </c>
      <c r="F77" s="6">
        <v>1.0</v>
      </c>
      <c r="G77" s="9">
        <v>0.0</v>
      </c>
      <c r="H77" s="6" t="s">
        <v>15</v>
      </c>
      <c r="I77" s="6" t="s">
        <v>18</v>
      </c>
      <c r="J77" s="10">
        <f t="shared" si="1"/>
        <v>732711</v>
      </c>
      <c r="K77" s="11">
        <f t="shared" si="2"/>
        <v>0</v>
      </c>
    </row>
    <row r="78">
      <c r="A78" s="6">
        <v>1077.0</v>
      </c>
      <c r="B78" s="7">
        <f>DATEVALUE('DATABASED '!B78)</f>
        <v>45734</v>
      </c>
      <c r="C78" s="6" t="s">
        <v>29</v>
      </c>
      <c r="D78" s="6" t="s">
        <v>14</v>
      </c>
      <c r="E78" s="8">
        <v>1491971.0</v>
      </c>
      <c r="F78" s="6">
        <v>1.0</v>
      </c>
      <c r="G78" s="9">
        <v>0.0</v>
      </c>
      <c r="H78" s="6" t="s">
        <v>15</v>
      </c>
      <c r="I78" s="6" t="s">
        <v>20</v>
      </c>
      <c r="J78" s="10">
        <f t="shared" si="1"/>
        <v>1491971</v>
      </c>
      <c r="K78" s="11">
        <f t="shared" si="2"/>
        <v>0</v>
      </c>
    </row>
    <row r="79">
      <c r="A79" s="6">
        <v>1078.0</v>
      </c>
      <c r="B79" s="7">
        <f>DATEVALUE('DATABASED '!B79)</f>
        <v>45735</v>
      </c>
      <c r="C79" s="6" t="s">
        <v>9</v>
      </c>
      <c r="D79" s="6" t="s">
        <v>14</v>
      </c>
      <c r="E79" s="8">
        <v>1201157.0</v>
      </c>
      <c r="F79" s="6">
        <v>1.0</v>
      </c>
      <c r="G79" s="9">
        <v>0.0</v>
      </c>
      <c r="H79" s="6" t="s">
        <v>15</v>
      </c>
      <c r="I79" s="6" t="s">
        <v>18</v>
      </c>
      <c r="J79" s="10">
        <f t="shared" si="1"/>
        <v>1201157</v>
      </c>
      <c r="K79" s="11">
        <f t="shared" si="2"/>
        <v>0</v>
      </c>
    </row>
    <row r="80">
      <c r="A80" s="6">
        <v>1079.0</v>
      </c>
      <c r="B80" s="7">
        <f>DATEVALUE('DATABASED '!B80)</f>
        <v>45736</v>
      </c>
      <c r="C80" s="6" t="s">
        <v>9</v>
      </c>
      <c r="D80" s="6" t="s">
        <v>17</v>
      </c>
      <c r="E80" s="8">
        <v>884423.0</v>
      </c>
      <c r="F80" s="6">
        <v>1.0</v>
      </c>
      <c r="G80" s="9">
        <v>0.0</v>
      </c>
      <c r="H80" s="6" t="s">
        <v>15</v>
      </c>
      <c r="I80" s="6" t="s">
        <v>20</v>
      </c>
      <c r="J80" s="10">
        <f t="shared" si="1"/>
        <v>884423</v>
      </c>
      <c r="K80" s="11">
        <f t="shared" si="2"/>
        <v>0</v>
      </c>
    </row>
    <row r="81">
      <c r="A81" s="6">
        <v>1080.0</v>
      </c>
      <c r="B81" s="7">
        <f>DATEVALUE('DATABASED '!B81)</f>
        <v>45737</v>
      </c>
      <c r="C81" s="6" t="s">
        <v>9</v>
      </c>
      <c r="D81" s="6" t="s">
        <v>14</v>
      </c>
      <c r="E81" s="8">
        <v>1216349.0</v>
      </c>
      <c r="F81" s="6">
        <v>1.0</v>
      </c>
      <c r="G81" s="9">
        <v>250000.0</v>
      </c>
      <c r="H81" s="6" t="s">
        <v>11</v>
      </c>
      <c r="I81" s="6" t="s">
        <v>18</v>
      </c>
      <c r="J81" s="10">
        <f t="shared" si="1"/>
        <v>1466349</v>
      </c>
      <c r="K81" s="11">
        <f t="shared" si="2"/>
        <v>1</v>
      </c>
    </row>
    <row r="82">
      <c r="A82" s="6">
        <v>1081.0</v>
      </c>
      <c r="B82" s="7">
        <f>DATEVALUE('DATABASED '!B82)</f>
        <v>45738</v>
      </c>
      <c r="C82" s="6" t="s">
        <v>13</v>
      </c>
      <c r="D82" s="6" t="s">
        <v>17</v>
      </c>
      <c r="E82" s="8">
        <v>2452290.0</v>
      </c>
      <c r="F82" s="6">
        <v>0.0</v>
      </c>
      <c r="G82" s="9">
        <v>0.0</v>
      </c>
      <c r="H82" s="6" t="s">
        <v>15</v>
      </c>
      <c r="I82" s="6" t="s">
        <v>12</v>
      </c>
      <c r="J82" s="10">
        <f t="shared" si="1"/>
        <v>2452290</v>
      </c>
      <c r="K82" s="11">
        <f t="shared" si="2"/>
        <v>0</v>
      </c>
    </row>
    <row r="83">
      <c r="A83" s="6">
        <v>1082.0</v>
      </c>
      <c r="B83" s="7">
        <f>DATEVALUE('DATABASED '!B83)</f>
        <v>45739</v>
      </c>
      <c r="C83" s="6" t="s">
        <v>29</v>
      </c>
      <c r="D83" s="6" t="s">
        <v>10</v>
      </c>
      <c r="E83" s="8">
        <v>1612495.0</v>
      </c>
      <c r="F83" s="6">
        <v>1.0</v>
      </c>
      <c r="G83" s="9">
        <v>0.0</v>
      </c>
      <c r="H83" s="6" t="s">
        <v>15</v>
      </c>
      <c r="I83" s="6" t="s">
        <v>12</v>
      </c>
      <c r="J83" s="10">
        <f t="shared" si="1"/>
        <v>1612495</v>
      </c>
      <c r="K83" s="11">
        <f t="shared" si="2"/>
        <v>0</v>
      </c>
    </row>
    <row r="84">
      <c r="A84" s="6">
        <v>1083.0</v>
      </c>
      <c r="B84" s="7">
        <f>DATEVALUE('DATABASED '!B84)</f>
        <v>45740</v>
      </c>
      <c r="C84" s="6" t="s">
        <v>13</v>
      </c>
      <c r="D84" s="6" t="s">
        <v>17</v>
      </c>
      <c r="E84" s="8">
        <v>2406493.0</v>
      </c>
      <c r="F84" s="6">
        <v>0.0</v>
      </c>
      <c r="G84" s="9">
        <v>0.0</v>
      </c>
      <c r="H84" s="6" t="s">
        <v>15</v>
      </c>
      <c r="I84" s="6" t="s">
        <v>12</v>
      </c>
      <c r="J84" s="10">
        <f t="shared" si="1"/>
        <v>2406493</v>
      </c>
      <c r="K84" s="11">
        <f t="shared" si="2"/>
        <v>0</v>
      </c>
    </row>
    <row r="85">
      <c r="A85" s="6">
        <v>1084.0</v>
      </c>
      <c r="B85" s="7">
        <f>DATEVALUE('DATABASED '!B85)</f>
        <v>45741</v>
      </c>
      <c r="C85" s="6" t="s">
        <v>13</v>
      </c>
      <c r="D85" s="6" t="s">
        <v>10</v>
      </c>
      <c r="E85" s="8">
        <v>1524792.0</v>
      </c>
      <c r="F85" s="6">
        <v>1.0</v>
      </c>
      <c r="G85" s="9">
        <v>250000.0</v>
      </c>
      <c r="H85" s="6" t="s">
        <v>15</v>
      </c>
      <c r="I85" s="6" t="s">
        <v>20</v>
      </c>
      <c r="J85" s="10">
        <f t="shared" si="1"/>
        <v>1774792</v>
      </c>
      <c r="K85" s="11">
        <f t="shared" si="2"/>
        <v>0</v>
      </c>
    </row>
    <row r="86">
      <c r="A86" s="6">
        <v>1085.0</v>
      </c>
      <c r="B86" s="7">
        <f>DATEVALUE('DATABASED '!B86)</f>
        <v>45742</v>
      </c>
      <c r="C86" s="6" t="s">
        <v>29</v>
      </c>
      <c r="D86" s="6" t="s">
        <v>14</v>
      </c>
      <c r="E86" s="8">
        <v>2485954.0</v>
      </c>
      <c r="F86" s="6">
        <v>0.0</v>
      </c>
      <c r="G86" s="9">
        <v>0.0</v>
      </c>
      <c r="H86" s="6" t="s">
        <v>15</v>
      </c>
      <c r="I86" s="6" t="s">
        <v>12</v>
      </c>
      <c r="J86" s="10">
        <f t="shared" si="1"/>
        <v>2485954</v>
      </c>
      <c r="K86" s="11">
        <f t="shared" si="2"/>
        <v>0</v>
      </c>
    </row>
    <row r="87">
      <c r="A87" s="6">
        <v>1086.0</v>
      </c>
      <c r="B87" s="7">
        <f>DATEVALUE('DATABASED '!B87)</f>
        <v>45743</v>
      </c>
      <c r="C87" s="6" t="s">
        <v>29</v>
      </c>
      <c r="D87" s="6" t="s">
        <v>14</v>
      </c>
      <c r="E87" s="8">
        <v>833272.0</v>
      </c>
      <c r="F87" s="6">
        <v>0.0</v>
      </c>
      <c r="G87" s="9">
        <v>0.0</v>
      </c>
      <c r="H87" s="6" t="s">
        <v>15</v>
      </c>
      <c r="I87" s="6" t="s">
        <v>20</v>
      </c>
      <c r="J87" s="10">
        <f t="shared" si="1"/>
        <v>833272</v>
      </c>
      <c r="K87" s="11">
        <f t="shared" si="2"/>
        <v>0</v>
      </c>
    </row>
    <row r="88">
      <c r="A88" s="6">
        <v>1087.0</v>
      </c>
      <c r="B88" s="7">
        <f>DATEVALUE('DATABASED '!B88)</f>
        <v>45744</v>
      </c>
      <c r="C88" s="6" t="s">
        <v>29</v>
      </c>
      <c r="D88" s="6" t="s">
        <v>10</v>
      </c>
      <c r="E88" s="8">
        <v>1467836.0</v>
      </c>
      <c r="F88" s="6">
        <v>1.0</v>
      </c>
      <c r="G88" s="9">
        <v>0.0</v>
      </c>
      <c r="H88" s="6" t="s">
        <v>15</v>
      </c>
      <c r="I88" s="6" t="s">
        <v>12</v>
      </c>
      <c r="J88" s="10">
        <f t="shared" si="1"/>
        <v>1467836</v>
      </c>
      <c r="K88" s="11">
        <f t="shared" si="2"/>
        <v>0</v>
      </c>
    </row>
    <row r="89">
      <c r="A89" s="6">
        <v>1088.0</v>
      </c>
      <c r="B89" s="7">
        <f>DATEVALUE('DATABASED '!B89)</f>
        <v>45745</v>
      </c>
      <c r="C89" s="6" t="s">
        <v>29</v>
      </c>
      <c r="D89" s="6" t="s">
        <v>19</v>
      </c>
      <c r="E89" s="8">
        <v>1686001.0</v>
      </c>
      <c r="F89" s="6">
        <v>1.0</v>
      </c>
      <c r="G89" s="9">
        <v>200000.0</v>
      </c>
      <c r="H89" s="6" t="s">
        <v>15</v>
      </c>
      <c r="I89" s="6" t="s">
        <v>12</v>
      </c>
      <c r="J89" s="10">
        <f t="shared" si="1"/>
        <v>1886001</v>
      </c>
      <c r="K89" s="11">
        <f t="shared" si="2"/>
        <v>0</v>
      </c>
    </row>
    <row r="90">
      <c r="A90" s="6">
        <v>1089.0</v>
      </c>
      <c r="B90" s="7">
        <f>DATEVALUE('DATABASED '!B90)</f>
        <v>45746</v>
      </c>
      <c r="C90" s="6" t="s">
        <v>9</v>
      </c>
      <c r="D90" s="6" t="s">
        <v>10</v>
      </c>
      <c r="E90" s="8">
        <v>1402335.0</v>
      </c>
      <c r="F90" s="6">
        <v>1.0</v>
      </c>
      <c r="G90" s="9">
        <v>250000.0</v>
      </c>
      <c r="H90" s="6" t="s">
        <v>15</v>
      </c>
      <c r="I90" s="6" t="s">
        <v>20</v>
      </c>
      <c r="J90" s="10">
        <f t="shared" si="1"/>
        <v>1652335</v>
      </c>
      <c r="K90" s="11">
        <f t="shared" si="2"/>
        <v>0</v>
      </c>
    </row>
    <row r="91">
      <c r="A91" s="6">
        <v>1090.0</v>
      </c>
      <c r="B91" s="7">
        <f>DATEVALUE('DATABASED '!B91)</f>
        <v>45747</v>
      </c>
      <c r="C91" s="6" t="s">
        <v>16</v>
      </c>
      <c r="D91" s="6" t="s">
        <v>19</v>
      </c>
      <c r="E91" s="8">
        <v>1507789.0</v>
      </c>
      <c r="F91" s="6">
        <v>1.0</v>
      </c>
      <c r="G91" s="9">
        <v>250000.0</v>
      </c>
      <c r="H91" s="6" t="s">
        <v>15</v>
      </c>
      <c r="I91" s="6" t="s">
        <v>20</v>
      </c>
      <c r="J91" s="10">
        <f t="shared" si="1"/>
        <v>1757789</v>
      </c>
      <c r="K91" s="11">
        <f t="shared" si="2"/>
        <v>0</v>
      </c>
    </row>
    <row r="92">
      <c r="A92" s="6">
        <v>1091.0</v>
      </c>
      <c r="B92" s="7">
        <f>DATEVALUE('DATABASED '!B92)</f>
        <v>45748</v>
      </c>
      <c r="C92" s="6" t="s">
        <v>16</v>
      </c>
      <c r="D92" s="6" t="s">
        <v>17</v>
      </c>
      <c r="E92" s="8">
        <v>2391985.0</v>
      </c>
      <c r="F92" s="6">
        <v>0.0</v>
      </c>
      <c r="G92" s="9">
        <v>0.0</v>
      </c>
      <c r="H92" s="6" t="s">
        <v>11</v>
      </c>
      <c r="I92" s="6" t="s">
        <v>12</v>
      </c>
      <c r="J92" s="10">
        <f t="shared" si="1"/>
        <v>2391985</v>
      </c>
      <c r="K92" s="11">
        <f t="shared" si="2"/>
        <v>1</v>
      </c>
    </row>
    <row r="93">
      <c r="A93" s="6">
        <v>1092.0</v>
      </c>
      <c r="B93" s="7">
        <f>DATEVALUE('DATABASED '!B93)</f>
        <v>45749</v>
      </c>
      <c r="C93" s="6" t="s">
        <v>29</v>
      </c>
      <c r="D93" s="6" t="s">
        <v>17</v>
      </c>
      <c r="E93" s="8">
        <v>1826081.0</v>
      </c>
      <c r="F93" s="6">
        <v>0.0</v>
      </c>
      <c r="G93" s="9">
        <v>0.0</v>
      </c>
      <c r="H93" s="6" t="s">
        <v>15</v>
      </c>
      <c r="I93" s="6" t="s">
        <v>20</v>
      </c>
      <c r="J93" s="10">
        <f t="shared" si="1"/>
        <v>1826081</v>
      </c>
      <c r="K93" s="11">
        <f t="shared" si="2"/>
        <v>0</v>
      </c>
    </row>
    <row r="94">
      <c r="A94" s="6">
        <v>1093.0</v>
      </c>
      <c r="B94" s="7">
        <f>DATEVALUE('DATABASED '!B94)</f>
        <v>45750</v>
      </c>
      <c r="C94" s="6" t="s">
        <v>16</v>
      </c>
      <c r="D94" s="6" t="s">
        <v>17</v>
      </c>
      <c r="E94" s="8">
        <v>702869.0</v>
      </c>
      <c r="F94" s="6">
        <v>0.0</v>
      </c>
      <c r="G94" s="9">
        <v>0.0</v>
      </c>
      <c r="H94" s="6" t="s">
        <v>15</v>
      </c>
      <c r="I94" s="6" t="s">
        <v>12</v>
      </c>
      <c r="J94" s="10">
        <f t="shared" si="1"/>
        <v>702869</v>
      </c>
      <c r="K94" s="11">
        <f t="shared" si="2"/>
        <v>0</v>
      </c>
    </row>
    <row r="95">
      <c r="A95" s="6">
        <v>1094.0</v>
      </c>
      <c r="B95" s="7">
        <f>DATEVALUE('DATABASED '!B95)</f>
        <v>45751</v>
      </c>
      <c r="C95" s="6" t="s">
        <v>16</v>
      </c>
      <c r="D95" s="6" t="s">
        <v>14</v>
      </c>
      <c r="E95" s="8">
        <v>1481474.0</v>
      </c>
      <c r="F95" s="6">
        <v>1.0</v>
      </c>
      <c r="G95" s="9">
        <v>250000.0</v>
      </c>
      <c r="H95" s="6" t="s">
        <v>15</v>
      </c>
      <c r="I95" s="6" t="s">
        <v>20</v>
      </c>
      <c r="J95" s="10">
        <f t="shared" si="1"/>
        <v>1731474</v>
      </c>
      <c r="K95" s="11">
        <f t="shared" si="2"/>
        <v>0</v>
      </c>
    </row>
    <row r="96">
      <c r="A96" s="6">
        <v>1095.0</v>
      </c>
      <c r="B96" s="7">
        <f>DATEVALUE('DATABASED '!B96)</f>
        <v>45752</v>
      </c>
      <c r="C96" s="6" t="s">
        <v>29</v>
      </c>
      <c r="D96" s="6" t="s">
        <v>17</v>
      </c>
      <c r="E96" s="8">
        <v>1154351.0</v>
      </c>
      <c r="F96" s="6">
        <v>1.0</v>
      </c>
      <c r="G96" s="9">
        <v>250000.0</v>
      </c>
      <c r="H96" s="6" t="s">
        <v>15</v>
      </c>
      <c r="I96" s="6" t="s">
        <v>18</v>
      </c>
      <c r="J96" s="10">
        <f t="shared" si="1"/>
        <v>1404351</v>
      </c>
      <c r="K96" s="11">
        <f t="shared" si="2"/>
        <v>0</v>
      </c>
    </row>
    <row r="97">
      <c r="A97" s="6">
        <v>1096.0</v>
      </c>
      <c r="B97" s="7">
        <f>DATEVALUE('DATABASED '!B97)</f>
        <v>45753</v>
      </c>
      <c r="C97" s="6" t="s">
        <v>16</v>
      </c>
      <c r="D97" s="6" t="s">
        <v>19</v>
      </c>
      <c r="E97" s="8">
        <v>2060828.0</v>
      </c>
      <c r="F97" s="6">
        <v>1.0</v>
      </c>
      <c r="G97" s="9">
        <v>200000.0</v>
      </c>
      <c r="H97" s="6" t="s">
        <v>15</v>
      </c>
      <c r="I97" s="6" t="s">
        <v>18</v>
      </c>
      <c r="J97" s="10">
        <f t="shared" si="1"/>
        <v>2260828</v>
      </c>
      <c r="K97" s="11">
        <f t="shared" si="2"/>
        <v>0</v>
      </c>
    </row>
    <row r="98">
      <c r="A98" s="6">
        <v>1097.0</v>
      </c>
      <c r="B98" s="7">
        <f>DATEVALUE('DATABASED '!B98)</f>
        <v>45754</v>
      </c>
      <c r="C98" s="6" t="s">
        <v>13</v>
      </c>
      <c r="D98" s="6" t="s">
        <v>17</v>
      </c>
      <c r="E98" s="8">
        <v>1336584.0</v>
      </c>
      <c r="F98" s="6">
        <v>0.0</v>
      </c>
      <c r="G98" s="9">
        <v>0.0</v>
      </c>
      <c r="H98" s="6" t="s">
        <v>15</v>
      </c>
      <c r="I98" s="6" t="s">
        <v>18</v>
      </c>
      <c r="J98" s="10">
        <f t="shared" si="1"/>
        <v>1336584</v>
      </c>
      <c r="K98" s="11">
        <f t="shared" si="2"/>
        <v>0</v>
      </c>
    </row>
    <row r="99">
      <c r="A99" s="6">
        <v>1098.0</v>
      </c>
      <c r="B99" s="7">
        <f>DATEVALUE('DATABASED '!B99)</f>
        <v>45755</v>
      </c>
      <c r="C99" s="6" t="s">
        <v>21</v>
      </c>
      <c r="D99" s="6" t="s">
        <v>10</v>
      </c>
      <c r="E99" s="8">
        <v>1318467.0</v>
      </c>
      <c r="F99" s="6">
        <v>1.0</v>
      </c>
      <c r="G99" s="9">
        <v>250000.0</v>
      </c>
      <c r="H99" s="6" t="s">
        <v>15</v>
      </c>
      <c r="I99" s="6" t="s">
        <v>18</v>
      </c>
      <c r="J99" s="10">
        <f t="shared" si="1"/>
        <v>1568467</v>
      </c>
      <c r="K99" s="11">
        <f t="shared" si="2"/>
        <v>0</v>
      </c>
    </row>
    <row r="100">
      <c r="A100" s="6">
        <v>1099.0</v>
      </c>
      <c r="B100" s="7">
        <f>DATEVALUE('DATABASED '!B100)</f>
        <v>45756</v>
      </c>
      <c r="C100" s="6" t="s">
        <v>21</v>
      </c>
      <c r="D100" s="6" t="s">
        <v>10</v>
      </c>
      <c r="E100" s="8">
        <v>1838848.0</v>
      </c>
      <c r="F100" s="6">
        <v>1.0</v>
      </c>
      <c r="G100" s="9">
        <v>0.0</v>
      </c>
      <c r="H100" s="6" t="s">
        <v>15</v>
      </c>
      <c r="I100" s="6" t="s">
        <v>18</v>
      </c>
      <c r="J100" s="10">
        <f t="shared" si="1"/>
        <v>1838848</v>
      </c>
      <c r="K100" s="11">
        <f t="shared" si="2"/>
        <v>0</v>
      </c>
    </row>
    <row r="101">
      <c r="A101" s="6">
        <v>1100.0</v>
      </c>
      <c r="B101" s="7">
        <f>DATEVALUE('DATABASED '!B101)</f>
        <v>45757</v>
      </c>
      <c r="C101" s="6" t="s">
        <v>29</v>
      </c>
      <c r="D101" s="6" t="s">
        <v>14</v>
      </c>
      <c r="E101" s="8">
        <v>738467.0</v>
      </c>
      <c r="F101" s="6">
        <v>1.0</v>
      </c>
      <c r="G101" s="9">
        <v>250000.0</v>
      </c>
      <c r="H101" s="6" t="s">
        <v>15</v>
      </c>
      <c r="I101" s="6" t="s">
        <v>12</v>
      </c>
      <c r="J101" s="10">
        <f t="shared" si="1"/>
        <v>988467</v>
      </c>
      <c r="K101" s="11">
        <f t="shared" si="2"/>
        <v>0</v>
      </c>
    </row>
    <row r="102">
      <c r="A102" s="6">
        <v>1101.0</v>
      </c>
      <c r="B102" s="7">
        <f>DATEVALUE('DATABASED '!B102)</f>
        <v>45758</v>
      </c>
      <c r="C102" s="6" t="s">
        <v>9</v>
      </c>
      <c r="D102" s="6" t="s">
        <v>10</v>
      </c>
      <c r="E102" s="8">
        <v>1736685.0</v>
      </c>
      <c r="F102" s="6">
        <v>1.0</v>
      </c>
      <c r="G102" s="9">
        <v>0.0</v>
      </c>
      <c r="H102" s="6" t="s">
        <v>15</v>
      </c>
      <c r="I102" s="6" t="s">
        <v>18</v>
      </c>
      <c r="J102" s="10">
        <f t="shared" si="1"/>
        <v>1736685</v>
      </c>
      <c r="K102" s="11">
        <f t="shared" si="2"/>
        <v>0</v>
      </c>
    </row>
    <row r="103">
      <c r="A103" s="6">
        <v>1102.0</v>
      </c>
      <c r="B103" s="7">
        <f>DATEVALUE('DATABASED '!B103)</f>
        <v>45759</v>
      </c>
      <c r="C103" s="6" t="s">
        <v>29</v>
      </c>
      <c r="D103" s="6" t="s">
        <v>19</v>
      </c>
      <c r="E103" s="8">
        <v>1577844.0</v>
      </c>
      <c r="F103" s="6">
        <v>1.0</v>
      </c>
      <c r="G103" s="9">
        <v>200000.0</v>
      </c>
      <c r="H103" s="6" t="s">
        <v>15</v>
      </c>
      <c r="I103" s="6" t="s">
        <v>18</v>
      </c>
      <c r="J103" s="10">
        <f t="shared" si="1"/>
        <v>1777844</v>
      </c>
      <c r="K103" s="11">
        <f t="shared" si="2"/>
        <v>0</v>
      </c>
    </row>
    <row r="104">
      <c r="A104" s="6">
        <v>1103.0</v>
      </c>
      <c r="B104" s="7">
        <f>DATEVALUE('DATABASED '!B104)</f>
        <v>45760</v>
      </c>
      <c r="C104" s="6" t="s">
        <v>9</v>
      </c>
      <c r="D104" s="6" t="s">
        <v>17</v>
      </c>
      <c r="E104" s="8">
        <v>1180047.0</v>
      </c>
      <c r="F104" s="6">
        <v>0.0</v>
      </c>
      <c r="G104" s="9">
        <v>0.0</v>
      </c>
      <c r="H104" s="6" t="s">
        <v>15</v>
      </c>
      <c r="I104" s="6" t="s">
        <v>18</v>
      </c>
      <c r="J104" s="10">
        <f t="shared" si="1"/>
        <v>1180047</v>
      </c>
      <c r="K104" s="11">
        <f t="shared" si="2"/>
        <v>0</v>
      </c>
    </row>
    <row r="105">
      <c r="A105" s="6">
        <v>1104.0</v>
      </c>
      <c r="B105" s="7">
        <f>DATEVALUE('DATABASED '!B105)</f>
        <v>45761</v>
      </c>
      <c r="C105" s="6" t="s">
        <v>21</v>
      </c>
      <c r="D105" s="6" t="s">
        <v>14</v>
      </c>
      <c r="E105" s="8">
        <v>2407923.0</v>
      </c>
      <c r="F105" s="6">
        <v>0.0</v>
      </c>
      <c r="G105" s="9">
        <v>0.0</v>
      </c>
      <c r="H105" s="6" t="s">
        <v>15</v>
      </c>
      <c r="I105" s="6" t="s">
        <v>18</v>
      </c>
      <c r="J105" s="10">
        <f t="shared" si="1"/>
        <v>2407923</v>
      </c>
      <c r="K105" s="11">
        <f t="shared" si="2"/>
        <v>0</v>
      </c>
    </row>
    <row r="106">
      <c r="A106" s="6">
        <v>1105.0</v>
      </c>
      <c r="B106" s="7">
        <f>DATEVALUE('DATABASED '!B106)</f>
        <v>45762</v>
      </c>
      <c r="C106" s="6" t="s">
        <v>29</v>
      </c>
      <c r="D106" s="6" t="s">
        <v>17</v>
      </c>
      <c r="E106" s="8">
        <v>1807447.0</v>
      </c>
      <c r="F106" s="6">
        <v>1.0</v>
      </c>
      <c r="G106" s="9">
        <v>0.0</v>
      </c>
      <c r="H106" s="6" t="s">
        <v>15</v>
      </c>
      <c r="I106" s="6" t="s">
        <v>20</v>
      </c>
      <c r="J106" s="10">
        <f t="shared" si="1"/>
        <v>1807447</v>
      </c>
      <c r="K106" s="11">
        <f t="shared" si="2"/>
        <v>0</v>
      </c>
    </row>
    <row r="107">
      <c r="A107" s="6">
        <v>1106.0</v>
      </c>
      <c r="B107" s="7">
        <f>DATEVALUE('DATABASED '!B107)</f>
        <v>45763</v>
      </c>
      <c r="C107" s="6" t="s">
        <v>13</v>
      </c>
      <c r="D107" s="6" t="s">
        <v>17</v>
      </c>
      <c r="E107" s="8">
        <v>1639903.0</v>
      </c>
      <c r="F107" s="6">
        <v>0.0</v>
      </c>
      <c r="G107" s="9">
        <v>0.0</v>
      </c>
      <c r="H107" s="6" t="s">
        <v>15</v>
      </c>
      <c r="I107" s="6" t="s">
        <v>12</v>
      </c>
      <c r="J107" s="10">
        <f t="shared" si="1"/>
        <v>1639903</v>
      </c>
      <c r="K107" s="11">
        <f t="shared" si="2"/>
        <v>0</v>
      </c>
    </row>
    <row r="108">
      <c r="A108" s="6">
        <v>1107.0</v>
      </c>
      <c r="B108" s="7">
        <f>DATEVALUE('DATABASED '!B108)</f>
        <v>45764</v>
      </c>
      <c r="C108" s="6" t="s">
        <v>16</v>
      </c>
      <c r="D108" s="6" t="s">
        <v>19</v>
      </c>
      <c r="E108" s="8">
        <v>828391.0</v>
      </c>
      <c r="F108" s="6">
        <v>0.0</v>
      </c>
      <c r="G108" s="9">
        <v>0.0</v>
      </c>
      <c r="H108" s="6" t="s">
        <v>15</v>
      </c>
      <c r="I108" s="6" t="s">
        <v>18</v>
      </c>
      <c r="J108" s="10">
        <f t="shared" si="1"/>
        <v>828391</v>
      </c>
      <c r="K108" s="11">
        <f t="shared" si="2"/>
        <v>0</v>
      </c>
    </row>
    <row r="109">
      <c r="A109" s="6">
        <v>1108.0</v>
      </c>
      <c r="B109" s="7">
        <f>DATEVALUE('DATABASED '!B109)</f>
        <v>45765</v>
      </c>
      <c r="C109" s="6" t="s">
        <v>9</v>
      </c>
      <c r="D109" s="6" t="s">
        <v>10</v>
      </c>
      <c r="E109" s="8">
        <v>1139430.0</v>
      </c>
      <c r="F109" s="6">
        <v>0.0</v>
      </c>
      <c r="G109" s="9">
        <v>0.0</v>
      </c>
      <c r="H109" s="6" t="s">
        <v>11</v>
      </c>
      <c r="I109" s="6" t="s">
        <v>18</v>
      </c>
      <c r="J109" s="10">
        <f t="shared" si="1"/>
        <v>1139430</v>
      </c>
      <c r="K109" s="11">
        <f t="shared" si="2"/>
        <v>1</v>
      </c>
    </row>
    <row r="110">
      <c r="A110" s="6">
        <v>1109.0</v>
      </c>
      <c r="B110" s="7">
        <f>DATEVALUE('DATABASED '!B110)</f>
        <v>45766</v>
      </c>
      <c r="C110" s="6" t="s">
        <v>16</v>
      </c>
      <c r="D110" s="6" t="s">
        <v>10</v>
      </c>
      <c r="E110" s="8">
        <v>1717026.0</v>
      </c>
      <c r="F110" s="6">
        <v>0.0</v>
      </c>
      <c r="G110" s="9">
        <v>0.0</v>
      </c>
      <c r="H110" s="6" t="s">
        <v>11</v>
      </c>
      <c r="I110" s="6" t="s">
        <v>18</v>
      </c>
      <c r="J110" s="10">
        <f t="shared" si="1"/>
        <v>1717026</v>
      </c>
      <c r="K110" s="11">
        <f t="shared" si="2"/>
        <v>1</v>
      </c>
    </row>
    <row r="111">
      <c r="A111" s="6">
        <v>1110.0</v>
      </c>
      <c r="B111" s="7">
        <f>DATEVALUE('DATABASED '!B111)</f>
        <v>45767</v>
      </c>
      <c r="C111" s="6" t="s">
        <v>16</v>
      </c>
      <c r="D111" s="6" t="s">
        <v>17</v>
      </c>
      <c r="E111" s="8">
        <v>2359280.0</v>
      </c>
      <c r="F111" s="6">
        <v>1.0</v>
      </c>
      <c r="G111" s="9">
        <v>0.0</v>
      </c>
      <c r="H111" s="6" t="s">
        <v>15</v>
      </c>
      <c r="I111" s="6" t="s">
        <v>12</v>
      </c>
      <c r="J111" s="10">
        <f t="shared" si="1"/>
        <v>2359280</v>
      </c>
      <c r="K111" s="11">
        <f t="shared" si="2"/>
        <v>0</v>
      </c>
    </row>
    <row r="112">
      <c r="A112" s="6">
        <v>1111.0</v>
      </c>
      <c r="B112" s="7">
        <f>DATEVALUE('DATABASED '!B112)</f>
        <v>45768</v>
      </c>
      <c r="C112" s="6" t="s">
        <v>29</v>
      </c>
      <c r="D112" s="6" t="s">
        <v>14</v>
      </c>
      <c r="E112" s="8">
        <v>956687.0</v>
      </c>
      <c r="F112" s="6">
        <v>1.0</v>
      </c>
      <c r="G112" s="9">
        <v>150000.0</v>
      </c>
      <c r="H112" s="6" t="s">
        <v>15</v>
      </c>
      <c r="I112" s="6" t="s">
        <v>20</v>
      </c>
      <c r="J112" s="10">
        <f t="shared" si="1"/>
        <v>1106687</v>
      </c>
      <c r="K112" s="11">
        <f t="shared" si="2"/>
        <v>0</v>
      </c>
    </row>
    <row r="113">
      <c r="A113" s="6">
        <v>1112.0</v>
      </c>
      <c r="B113" s="7">
        <f>DATEVALUE('DATABASED '!B113)</f>
        <v>45769</v>
      </c>
      <c r="C113" s="6" t="s">
        <v>16</v>
      </c>
      <c r="D113" s="6" t="s">
        <v>10</v>
      </c>
      <c r="E113" s="8">
        <v>2474027.0</v>
      </c>
      <c r="F113" s="6">
        <v>1.0</v>
      </c>
      <c r="G113" s="9">
        <v>250000.0</v>
      </c>
      <c r="H113" s="6" t="s">
        <v>15</v>
      </c>
      <c r="I113" s="6" t="s">
        <v>12</v>
      </c>
      <c r="J113" s="10">
        <f t="shared" si="1"/>
        <v>2724027</v>
      </c>
      <c r="K113" s="11">
        <f t="shared" si="2"/>
        <v>0</v>
      </c>
    </row>
    <row r="114">
      <c r="A114" s="6">
        <v>1113.0</v>
      </c>
      <c r="B114" s="7">
        <f>DATEVALUE('DATABASED '!B114)</f>
        <v>45770</v>
      </c>
      <c r="C114" s="6" t="s">
        <v>13</v>
      </c>
      <c r="D114" s="6" t="s">
        <v>14</v>
      </c>
      <c r="E114" s="8">
        <v>807450.0</v>
      </c>
      <c r="F114" s="6">
        <v>0.0</v>
      </c>
      <c r="G114" s="9">
        <v>0.0</v>
      </c>
      <c r="H114" s="6" t="s">
        <v>15</v>
      </c>
      <c r="I114" s="6" t="s">
        <v>20</v>
      </c>
      <c r="J114" s="10">
        <f t="shared" si="1"/>
        <v>807450</v>
      </c>
      <c r="K114" s="11">
        <f t="shared" si="2"/>
        <v>0</v>
      </c>
    </row>
    <row r="115">
      <c r="A115" s="6">
        <v>1114.0</v>
      </c>
      <c r="B115" s="7">
        <f>DATEVALUE('DATABASED '!B115)</f>
        <v>45771</v>
      </c>
      <c r="C115" s="6" t="s">
        <v>16</v>
      </c>
      <c r="D115" s="6" t="s">
        <v>10</v>
      </c>
      <c r="E115" s="8">
        <v>871890.0</v>
      </c>
      <c r="F115" s="6">
        <v>1.0</v>
      </c>
      <c r="G115" s="9">
        <v>0.0</v>
      </c>
      <c r="H115" s="6" t="s">
        <v>15</v>
      </c>
      <c r="I115" s="6" t="s">
        <v>18</v>
      </c>
      <c r="J115" s="10">
        <f t="shared" si="1"/>
        <v>871890</v>
      </c>
      <c r="K115" s="11">
        <f t="shared" si="2"/>
        <v>0</v>
      </c>
    </row>
    <row r="116">
      <c r="A116" s="6">
        <v>1115.0</v>
      </c>
      <c r="B116" s="7">
        <f>DATEVALUE('DATABASED '!B116)</f>
        <v>45772</v>
      </c>
      <c r="C116" s="6" t="s">
        <v>29</v>
      </c>
      <c r="D116" s="6" t="s">
        <v>14</v>
      </c>
      <c r="E116" s="8">
        <v>1138741.0</v>
      </c>
      <c r="F116" s="6">
        <v>1.0</v>
      </c>
      <c r="G116" s="9">
        <v>150000.0</v>
      </c>
      <c r="H116" s="6" t="s">
        <v>15</v>
      </c>
      <c r="I116" s="6" t="s">
        <v>18</v>
      </c>
      <c r="J116" s="10">
        <f t="shared" si="1"/>
        <v>1288741</v>
      </c>
      <c r="K116" s="11">
        <f t="shared" si="2"/>
        <v>0</v>
      </c>
    </row>
    <row r="117">
      <c r="A117" s="6">
        <v>1116.0</v>
      </c>
      <c r="B117" s="7">
        <f>DATEVALUE('DATABASED '!B117)</f>
        <v>45773</v>
      </c>
      <c r="C117" s="6" t="s">
        <v>13</v>
      </c>
      <c r="D117" s="6" t="s">
        <v>19</v>
      </c>
      <c r="E117" s="8">
        <v>981974.0</v>
      </c>
      <c r="F117" s="6">
        <v>0.0</v>
      </c>
      <c r="G117" s="9">
        <v>0.0</v>
      </c>
      <c r="H117" s="6" t="s">
        <v>15</v>
      </c>
      <c r="I117" s="6" t="s">
        <v>12</v>
      </c>
      <c r="J117" s="10">
        <f t="shared" si="1"/>
        <v>981974</v>
      </c>
      <c r="K117" s="11">
        <f t="shared" si="2"/>
        <v>0</v>
      </c>
    </row>
    <row r="118">
      <c r="A118" s="6">
        <v>1117.0</v>
      </c>
      <c r="B118" s="7">
        <f>DATEVALUE('DATABASED '!B118)</f>
        <v>45774</v>
      </c>
      <c r="C118" s="6" t="s">
        <v>21</v>
      </c>
      <c r="D118" s="6" t="s">
        <v>14</v>
      </c>
      <c r="E118" s="8">
        <v>2148685.0</v>
      </c>
      <c r="F118" s="6">
        <v>1.0</v>
      </c>
      <c r="G118" s="9">
        <v>200000.0</v>
      </c>
      <c r="H118" s="6" t="s">
        <v>15</v>
      </c>
      <c r="I118" s="6" t="s">
        <v>12</v>
      </c>
      <c r="J118" s="10">
        <f t="shared" si="1"/>
        <v>2348685</v>
      </c>
      <c r="K118" s="11">
        <f t="shared" si="2"/>
        <v>0</v>
      </c>
    </row>
    <row r="119">
      <c r="A119" s="6">
        <v>1118.0</v>
      </c>
      <c r="B119" s="7">
        <f>DATEVALUE('DATABASED '!B119)</f>
        <v>45775</v>
      </c>
      <c r="C119" s="6" t="s">
        <v>16</v>
      </c>
      <c r="D119" s="6" t="s">
        <v>19</v>
      </c>
      <c r="E119" s="8">
        <v>816381.0</v>
      </c>
      <c r="F119" s="6">
        <v>0.0</v>
      </c>
      <c r="G119" s="9">
        <v>0.0</v>
      </c>
      <c r="H119" s="6" t="s">
        <v>15</v>
      </c>
      <c r="I119" s="6" t="s">
        <v>20</v>
      </c>
      <c r="J119" s="10">
        <f t="shared" si="1"/>
        <v>816381</v>
      </c>
      <c r="K119" s="11">
        <f t="shared" si="2"/>
        <v>0</v>
      </c>
    </row>
    <row r="120">
      <c r="A120" s="6">
        <v>1119.0</v>
      </c>
      <c r="B120" s="7">
        <f>DATEVALUE('DATABASED '!B120)</f>
        <v>45776</v>
      </c>
      <c r="C120" s="6" t="s">
        <v>29</v>
      </c>
      <c r="D120" s="6" t="s">
        <v>19</v>
      </c>
      <c r="E120" s="8">
        <v>2221701.0</v>
      </c>
      <c r="F120" s="6">
        <v>1.0</v>
      </c>
      <c r="G120" s="9">
        <v>0.0</v>
      </c>
      <c r="H120" s="6" t="s">
        <v>15</v>
      </c>
      <c r="I120" s="6" t="s">
        <v>20</v>
      </c>
      <c r="J120" s="10">
        <f t="shared" si="1"/>
        <v>2221701</v>
      </c>
      <c r="K120" s="11">
        <f t="shared" si="2"/>
        <v>0</v>
      </c>
    </row>
    <row r="121">
      <c r="A121" s="6">
        <v>1120.0</v>
      </c>
      <c r="B121" s="7">
        <f>DATEVALUE('DATABASED '!B121)</f>
        <v>45777</v>
      </c>
      <c r="C121" s="6" t="s">
        <v>21</v>
      </c>
      <c r="D121" s="6" t="s">
        <v>14</v>
      </c>
      <c r="E121" s="8">
        <v>2320197.0</v>
      </c>
      <c r="F121" s="6">
        <v>1.0</v>
      </c>
      <c r="G121" s="9">
        <v>250000.0</v>
      </c>
      <c r="H121" s="6" t="s">
        <v>15</v>
      </c>
      <c r="I121" s="6" t="s">
        <v>12</v>
      </c>
      <c r="J121" s="10">
        <f t="shared" si="1"/>
        <v>2570197</v>
      </c>
      <c r="K121" s="11">
        <f t="shared" si="2"/>
        <v>0</v>
      </c>
    </row>
    <row r="127">
      <c r="K127" s="2" t="s">
        <v>105</v>
      </c>
    </row>
    <row r="128">
      <c r="K128" s="2" t="s">
        <v>106</v>
      </c>
    </row>
    <row r="130">
      <c r="K130" s="2" t="s">
        <v>107</v>
      </c>
    </row>
    <row r="131">
      <c r="K131" s="2" t="s">
        <v>108</v>
      </c>
    </row>
    <row r="133">
      <c r="K133" s="2" t="s">
        <v>109</v>
      </c>
    </row>
    <row r="134">
      <c r="K134" s="2" t="s">
        <v>110</v>
      </c>
    </row>
    <row r="166">
      <c r="F166" s="12"/>
    </row>
    <row r="220">
      <c r="A220" s="4" t="s">
        <v>0</v>
      </c>
      <c r="B220" s="4" t="s">
        <v>1</v>
      </c>
      <c r="C220" s="4" t="s">
        <v>2</v>
      </c>
      <c r="D220" s="4" t="s">
        <v>3</v>
      </c>
      <c r="E220" s="4" t="s">
        <v>4</v>
      </c>
      <c r="F220" s="4" t="s">
        <v>5</v>
      </c>
      <c r="G220" s="4" t="s">
        <v>6</v>
      </c>
      <c r="H220" s="4" t="s">
        <v>7</v>
      </c>
    </row>
    <row r="221">
      <c r="A221" s="6">
        <v>1002.0</v>
      </c>
      <c r="B221" s="13">
        <v>45659.0</v>
      </c>
      <c r="C221" s="6" t="s">
        <v>111</v>
      </c>
      <c r="D221" s="6" t="s">
        <v>10</v>
      </c>
      <c r="E221" s="6" t="s">
        <v>112</v>
      </c>
      <c r="F221" s="6">
        <v>1.0</v>
      </c>
      <c r="G221" s="6">
        <v>250.0</v>
      </c>
      <c r="H221" s="6" t="s">
        <v>11</v>
      </c>
    </row>
    <row r="222">
      <c r="A222" s="6">
        <v>1015.0</v>
      </c>
      <c r="B222" s="13">
        <v>45672.0</v>
      </c>
      <c r="C222" s="6" t="s">
        <v>111</v>
      </c>
      <c r="D222" s="6" t="s">
        <v>19</v>
      </c>
      <c r="E222" s="6" t="s">
        <v>113</v>
      </c>
      <c r="F222" s="6">
        <v>1.0</v>
      </c>
      <c r="G222" s="6">
        <v>200.0</v>
      </c>
      <c r="H222" s="6" t="s">
        <v>15</v>
      </c>
    </row>
    <row r="223">
      <c r="A223" s="6">
        <v>1038.0</v>
      </c>
      <c r="B223" s="13">
        <v>45695.0</v>
      </c>
      <c r="C223" s="6" t="s">
        <v>114</v>
      </c>
      <c r="D223" s="6" t="s">
        <v>17</v>
      </c>
      <c r="E223" s="6" t="s">
        <v>115</v>
      </c>
      <c r="F223" s="6">
        <v>0.0</v>
      </c>
      <c r="G223" s="6">
        <v>0.0</v>
      </c>
      <c r="H223" s="6" t="s">
        <v>15</v>
      </c>
    </row>
    <row r="224">
      <c r="A224" s="6">
        <v>1064.0</v>
      </c>
      <c r="B224" s="13">
        <v>45721.0</v>
      </c>
      <c r="C224" s="6" t="s">
        <v>116</v>
      </c>
      <c r="D224" s="6" t="s">
        <v>14</v>
      </c>
      <c r="E224" s="6" t="s">
        <v>117</v>
      </c>
      <c r="F224" s="6">
        <v>1.0</v>
      </c>
      <c r="G224" s="6">
        <v>150.0</v>
      </c>
      <c r="H224" s="6" t="s">
        <v>15</v>
      </c>
    </row>
    <row r="225">
      <c r="A225" s="6">
        <v>1091.0</v>
      </c>
      <c r="B225" s="13">
        <v>45748.0</v>
      </c>
      <c r="C225" s="6" t="s">
        <v>118</v>
      </c>
      <c r="D225" s="6" t="s">
        <v>10</v>
      </c>
      <c r="E225" s="6" t="s">
        <v>119</v>
      </c>
      <c r="F225" s="6">
        <v>0.0</v>
      </c>
      <c r="G225" s="6">
        <v>0.0</v>
      </c>
      <c r="H225" s="6" t="s">
        <v>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13"/>
    <col customWidth="1" min="2" max="2" width="21.5"/>
    <col customWidth="1" min="3" max="3" width="17.38"/>
  </cols>
  <sheetData>
    <row r="1">
      <c r="A1" s="14" t="s">
        <v>120</v>
      </c>
    </row>
    <row r="5">
      <c r="A5" s="15" t="s">
        <v>121</v>
      </c>
    </row>
    <row r="6">
      <c r="A6" s="16" t="s">
        <v>122</v>
      </c>
    </row>
    <row r="7"/>
    <row r="8"/>
    <row r="9"/>
    <row r="10"/>
    <row r="11"/>
    <row r="12"/>
    <row r="13"/>
    <row r="15">
      <c r="A15" s="18" t="s">
        <v>125</v>
      </c>
    </row>
    <row r="36">
      <c r="A36" s="19" t="s">
        <v>126</v>
      </c>
    </row>
    <row r="39">
      <c r="A39" s="15" t="s">
        <v>127</v>
      </c>
    </row>
    <row r="41">
      <c r="A41" s="16" t="s">
        <v>128</v>
      </c>
    </row>
    <row r="42">
      <c r="D42" s="21" t="s">
        <v>131</v>
      </c>
    </row>
    <row r="43">
      <c r="D43" s="23">
        <f t="shared" ref="D43:D46" si="1">C43/B43</f>
        <v>0.2592592593</v>
      </c>
    </row>
    <row r="44">
      <c r="D44" s="23">
        <f t="shared" si="1"/>
        <v>0.1428571429</v>
      </c>
    </row>
    <row r="45">
      <c r="D45" s="23">
        <f t="shared" si="1"/>
        <v>0.15625</v>
      </c>
    </row>
    <row r="46">
      <c r="D46" s="23">
        <f t="shared" si="1"/>
        <v>0.06060606061</v>
      </c>
    </row>
    <row r="47">
      <c r="D47" s="23"/>
    </row>
    <row r="62">
      <c r="A62" s="19" t="s">
        <v>132</v>
      </c>
    </row>
    <row r="64">
      <c r="A64" s="15" t="s">
        <v>133</v>
      </c>
    </row>
    <row r="66">
      <c r="A66" s="16" t="s">
        <v>134</v>
      </c>
    </row>
    <row r="67"/>
    <row r="68"/>
    <row r="69"/>
    <row r="70"/>
    <row r="71"/>
    <row r="72"/>
    <row r="73"/>
    <row r="74"/>
    <row r="75">
      <c r="A75" s="2" t="s">
        <v>136</v>
      </c>
    </row>
    <row r="96">
      <c r="A96" s="25" t="s">
        <v>137</v>
      </c>
    </row>
    <row r="97">
      <c r="A97" s="18" t="s">
        <v>138</v>
      </c>
    </row>
    <row r="98">
      <c r="A98" s="25" t="s">
        <v>139</v>
      </c>
    </row>
    <row r="99">
      <c r="A99" s="18" t="s">
        <v>140</v>
      </c>
    </row>
    <row r="101">
      <c r="A101" s="25" t="s">
        <v>141</v>
      </c>
    </row>
    <row r="102">
      <c r="A102" s="19" t="s">
        <v>142</v>
      </c>
    </row>
    <row r="103">
      <c r="A103" s="18"/>
    </row>
    <row r="104">
      <c r="A104" s="25" t="s">
        <v>143</v>
      </c>
    </row>
    <row r="105">
      <c r="A105" s="18" t="s">
        <v>144</v>
      </c>
    </row>
    <row r="108">
      <c r="A108" s="26"/>
    </row>
    <row r="110">
      <c r="A110" s="18"/>
    </row>
    <row r="111">
      <c r="A111" s="18"/>
    </row>
    <row r="112">
      <c r="A112" s="18"/>
    </row>
  </sheetData>
  <mergeCells count="5">
    <mergeCell ref="A1:K2"/>
    <mergeCell ref="A36:D36"/>
    <mergeCell ref="A62:E62"/>
    <mergeCell ref="A75:F75"/>
    <mergeCell ref="A102:E102"/>
  </mergeCell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15.75"/>
    <col customWidth="1" min="4" max="4" width="20.75"/>
    <col customWidth="1" min="6" max="6" width="17.0"/>
    <col customWidth="1" min="7" max="7" width="16.5"/>
    <col customWidth="1" min="9" max="9" width="26.5"/>
  </cols>
  <sheetData>
    <row r="1">
      <c r="A1" s="1" t="s">
        <v>0</v>
      </c>
      <c r="B1" s="1" t="s">
        <v>1</v>
      </c>
      <c r="C1" s="1" t="s">
        <v>2</v>
      </c>
      <c r="D1" s="1" t="s">
        <v>3</v>
      </c>
      <c r="E1" s="1" t="s">
        <v>4</v>
      </c>
      <c r="F1" s="1" t="s">
        <v>5</v>
      </c>
      <c r="G1" s="1" t="s">
        <v>6</v>
      </c>
      <c r="H1" s="1" t="s">
        <v>7</v>
      </c>
      <c r="I1" s="1" t="s">
        <v>8</v>
      </c>
    </row>
    <row r="2">
      <c r="A2" s="2">
        <v>1001.0</v>
      </c>
      <c r="B2" s="3">
        <v>45658.0</v>
      </c>
      <c r="C2" s="2" t="s">
        <v>9</v>
      </c>
      <c r="D2" s="2" t="s">
        <v>10</v>
      </c>
      <c r="E2" s="2">
        <v>2129626.0</v>
      </c>
      <c r="F2" s="2">
        <v>0.0</v>
      </c>
      <c r="G2" s="2">
        <v>0.0</v>
      </c>
      <c r="H2" s="2" t="s">
        <v>11</v>
      </c>
      <c r="I2" s="2" t="s">
        <v>12</v>
      </c>
    </row>
    <row r="3">
      <c r="A3" s="2">
        <v>1002.0</v>
      </c>
      <c r="B3" s="3">
        <v>45689.0</v>
      </c>
      <c r="C3" s="2" t="s">
        <v>13</v>
      </c>
      <c r="D3" s="2" t="s">
        <v>14</v>
      </c>
      <c r="E3" s="2">
        <v>1511774.0</v>
      </c>
      <c r="F3" s="2">
        <v>1.0</v>
      </c>
      <c r="G3" s="2">
        <v>250000.0</v>
      </c>
      <c r="H3" s="2" t="s">
        <v>15</v>
      </c>
      <c r="I3" s="2" t="s">
        <v>12</v>
      </c>
    </row>
    <row r="4">
      <c r="A4" s="2">
        <v>1003.0</v>
      </c>
      <c r="B4" s="3">
        <v>45717.0</v>
      </c>
      <c r="C4" s="2" t="s">
        <v>16</v>
      </c>
      <c r="D4" s="2" t="s">
        <v>17</v>
      </c>
      <c r="E4" s="2">
        <v>2441093.0</v>
      </c>
      <c r="F4" s="2">
        <v>1.0</v>
      </c>
      <c r="G4" s="2">
        <v>200000.0</v>
      </c>
      <c r="H4" s="2" t="s">
        <v>11</v>
      </c>
      <c r="I4" s="2" t="s">
        <v>18</v>
      </c>
    </row>
    <row r="5">
      <c r="A5" s="2">
        <v>1004.0</v>
      </c>
      <c r="B5" s="3">
        <v>45748.0</v>
      </c>
      <c r="C5" s="2" t="s">
        <v>13</v>
      </c>
      <c r="D5" s="2" t="s">
        <v>19</v>
      </c>
      <c r="E5" s="2">
        <v>1161079.0</v>
      </c>
      <c r="F5" s="2">
        <v>1.0</v>
      </c>
      <c r="G5" s="2">
        <v>150000.0</v>
      </c>
      <c r="H5" s="2" t="s">
        <v>15</v>
      </c>
      <c r="I5" s="2" t="s">
        <v>20</v>
      </c>
    </row>
    <row r="6">
      <c r="A6" s="2">
        <v>1005.0</v>
      </c>
      <c r="B6" s="3">
        <v>45778.0</v>
      </c>
      <c r="C6" s="2" t="s">
        <v>13</v>
      </c>
      <c r="D6" s="2" t="s">
        <v>19</v>
      </c>
      <c r="E6" s="2">
        <v>1068452.0</v>
      </c>
      <c r="F6" s="2">
        <v>1.0</v>
      </c>
      <c r="G6" s="2">
        <v>150000.0</v>
      </c>
      <c r="H6" s="2" t="s">
        <v>15</v>
      </c>
      <c r="I6" s="2" t="s">
        <v>12</v>
      </c>
    </row>
    <row r="7">
      <c r="A7" s="2">
        <v>1006.0</v>
      </c>
      <c r="B7" s="3">
        <v>45809.0</v>
      </c>
      <c r="C7" s="2" t="s">
        <v>21</v>
      </c>
      <c r="D7" s="2" t="s">
        <v>14</v>
      </c>
      <c r="E7" s="2">
        <v>806081.0</v>
      </c>
      <c r="F7" s="2">
        <v>1.0</v>
      </c>
      <c r="G7" s="2">
        <v>200000.0</v>
      </c>
      <c r="H7" s="2" t="s">
        <v>15</v>
      </c>
      <c r="I7" s="2" t="s">
        <v>12</v>
      </c>
    </row>
    <row r="8">
      <c r="A8" s="2">
        <v>1007.0</v>
      </c>
      <c r="B8" s="3">
        <v>45839.0</v>
      </c>
      <c r="C8" s="2" t="s">
        <v>16</v>
      </c>
      <c r="D8" s="2" t="s">
        <v>19</v>
      </c>
      <c r="E8" s="2">
        <v>1683237.0</v>
      </c>
      <c r="F8" s="2">
        <v>1.0</v>
      </c>
      <c r="G8" s="2">
        <v>150000.0</v>
      </c>
      <c r="H8" s="2" t="s">
        <v>15</v>
      </c>
      <c r="I8" s="2" t="s">
        <v>18</v>
      </c>
    </row>
    <row r="9">
      <c r="A9" s="2">
        <v>1008.0</v>
      </c>
      <c r="B9" s="3">
        <v>45870.0</v>
      </c>
      <c r="C9" s="2" t="s">
        <v>16</v>
      </c>
      <c r="D9" s="2" t="s">
        <v>17</v>
      </c>
      <c r="E9" s="2">
        <v>2361909.0</v>
      </c>
      <c r="F9" s="2">
        <v>0.0</v>
      </c>
      <c r="G9" s="2">
        <v>0.0</v>
      </c>
      <c r="H9" s="2" t="s">
        <v>15</v>
      </c>
      <c r="I9" s="2" t="s">
        <v>12</v>
      </c>
    </row>
    <row r="10">
      <c r="A10" s="2">
        <v>1009.0</v>
      </c>
      <c r="B10" s="3">
        <v>45901.0</v>
      </c>
      <c r="C10" s="2" t="s">
        <v>16</v>
      </c>
      <c r="D10" s="2" t="s">
        <v>14</v>
      </c>
      <c r="E10" s="2">
        <v>1258986.0</v>
      </c>
      <c r="F10" s="2">
        <v>1.0</v>
      </c>
      <c r="G10" s="2">
        <v>0.0</v>
      </c>
      <c r="H10" s="2" t="s">
        <v>15</v>
      </c>
      <c r="I10" s="2" t="s">
        <v>20</v>
      </c>
    </row>
    <row r="11">
      <c r="A11" s="2">
        <v>1010.0</v>
      </c>
      <c r="B11" s="3">
        <v>45931.0</v>
      </c>
      <c r="C11" s="2" t="s">
        <v>13</v>
      </c>
      <c r="D11" s="2" t="s">
        <v>17</v>
      </c>
      <c r="E11" s="2">
        <v>810078.0</v>
      </c>
      <c r="F11" s="2">
        <v>0.0</v>
      </c>
      <c r="G11" s="2">
        <v>0.0</v>
      </c>
      <c r="H11" s="2" t="s">
        <v>15</v>
      </c>
      <c r="I11" s="2" t="s">
        <v>18</v>
      </c>
    </row>
    <row r="12">
      <c r="A12" s="2">
        <v>1011.0</v>
      </c>
      <c r="B12" s="3">
        <v>45962.0</v>
      </c>
      <c r="C12" s="2" t="s">
        <v>9</v>
      </c>
      <c r="D12" s="2" t="s">
        <v>14</v>
      </c>
      <c r="E12" s="2">
        <v>722671.0</v>
      </c>
      <c r="F12" s="2">
        <v>0.0</v>
      </c>
      <c r="G12" s="2">
        <v>0.0</v>
      </c>
      <c r="H12" s="2" t="s">
        <v>15</v>
      </c>
      <c r="I12" s="2" t="s">
        <v>12</v>
      </c>
    </row>
    <row r="13">
      <c r="A13" s="2">
        <v>1012.0</v>
      </c>
      <c r="B13" s="3">
        <v>45992.0</v>
      </c>
      <c r="C13" s="2" t="s">
        <v>16</v>
      </c>
      <c r="D13" s="2" t="s">
        <v>14</v>
      </c>
      <c r="E13" s="2">
        <v>2166976.0</v>
      </c>
      <c r="F13" s="2">
        <v>1.0</v>
      </c>
      <c r="G13" s="2">
        <v>0.0</v>
      </c>
      <c r="H13" s="2" t="s">
        <v>15</v>
      </c>
      <c r="I13" s="2" t="s">
        <v>18</v>
      </c>
    </row>
    <row r="14">
      <c r="A14" s="2">
        <v>1013.0</v>
      </c>
      <c r="B14" s="2" t="s">
        <v>22</v>
      </c>
      <c r="C14" s="2" t="s">
        <v>13</v>
      </c>
      <c r="D14" s="2" t="s">
        <v>10</v>
      </c>
      <c r="E14" s="2">
        <v>2104104.0</v>
      </c>
      <c r="F14" s="2">
        <v>0.0</v>
      </c>
      <c r="G14" s="2">
        <v>0.0</v>
      </c>
      <c r="H14" s="2" t="s">
        <v>15</v>
      </c>
      <c r="I14" s="2" t="s">
        <v>12</v>
      </c>
    </row>
    <row r="15">
      <c r="A15" s="2">
        <v>1014.0</v>
      </c>
      <c r="B15" s="2" t="s">
        <v>23</v>
      </c>
      <c r="C15" s="2" t="s">
        <v>21</v>
      </c>
      <c r="D15" s="2" t="s">
        <v>17</v>
      </c>
      <c r="E15" s="2">
        <v>2359066.0</v>
      </c>
      <c r="F15" s="2">
        <v>1.0</v>
      </c>
      <c r="G15" s="2">
        <v>250000.0</v>
      </c>
      <c r="H15" s="2" t="s">
        <v>15</v>
      </c>
      <c r="I15" s="2" t="s">
        <v>12</v>
      </c>
    </row>
    <row r="16">
      <c r="A16" s="2">
        <v>1015.0</v>
      </c>
      <c r="B16" s="2" t="s">
        <v>24</v>
      </c>
      <c r="C16" s="2" t="s">
        <v>9</v>
      </c>
      <c r="D16" s="2" t="s">
        <v>19</v>
      </c>
      <c r="E16" s="2">
        <v>751663.0</v>
      </c>
      <c r="F16" s="2">
        <v>1.0</v>
      </c>
      <c r="G16" s="2">
        <v>250000.0</v>
      </c>
      <c r="H16" s="2" t="s">
        <v>15</v>
      </c>
      <c r="I16" s="2" t="s">
        <v>12</v>
      </c>
    </row>
    <row r="17">
      <c r="A17" s="2">
        <v>1016.0</v>
      </c>
      <c r="B17" s="2" t="s">
        <v>25</v>
      </c>
      <c r="C17" s="2" t="s">
        <v>21</v>
      </c>
      <c r="D17" s="2" t="s">
        <v>19</v>
      </c>
      <c r="E17" s="2">
        <v>1764284.0</v>
      </c>
      <c r="F17" s="2">
        <v>1.0</v>
      </c>
      <c r="G17" s="2">
        <v>250000.0</v>
      </c>
      <c r="H17" s="2" t="s">
        <v>11</v>
      </c>
      <c r="I17" s="2" t="s">
        <v>20</v>
      </c>
    </row>
    <row r="18">
      <c r="A18" s="2">
        <v>1017.0</v>
      </c>
      <c r="B18" s="2" t="s">
        <v>26</v>
      </c>
      <c r="C18" s="2" t="s">
        <v>9</v>
      </c>
      <c r="D18" s="2" t="s">
        <v>17</v>
      </c>
      <c r="E18" s="2">
        <v>1011955.0</v>
      </c>
      <c r="F18" s="2">
        <v>0.0</v>
      </c>
      <c r="G18" s="2">
        <v>0.0</v>
      </c>
      <c r="H18" s="2" t="s">
        <v>15</v>
      </c>
      <c r="I18" s="2" t="s">
        <v>20</v>
      </c>
    </row>
    <row r="19">
      <c r="A19" s="2">
        <v>1018.0</v>
      </c>
      <c r="B19" s="2" t="s">
        <v>27</v>
      </c>
      <c r="C19" s="2" t="s">
        <v>13</v>
      </c>
      <c r="D19" s="2" t="s">
        <v>19</v>
      </c>
      <c r="E19" s="2">
        <v>1882459.0</v>
      </c>
      <c r="F19" s="2">
        <v>0.0</v>
      </c>
      <c r="G19" s="2">
        <v>0.0</v>
      </c>
      <c r="H19" s="2" t="s">
        <v>11</v>
      </c>
      <c r="I19" s="2" t="s">
        <v>18</v>
      </c>
    </row>
    <row r="20">
      <c r="A20" s="2">
        <v>1019.0</v>
      </c>
      <c r="B20" s="2" t="s">
        <v>28</v>
      </c>
      <c r="C20" s="2" t="s">
        <v>29</v>
      </c>
      <c r="D20" s="2" t="s">
        <v>19</v>
      </c>
      <c r="E20" s="2">
        <v>2066970.0</v>
      </c>
      <c r="F20" s="2">
        <v>1.0</v>
      </c>
      <c r="G20" s="2">
        <v>0.0</v>
      </c>
      <c r="H20" s="2" t="s">
        <v>15</v>
      </c>
      <c r="I20" s="2" t="s">
        <v>12</v>
      </c>
    </row>
    <row r="21">
      <c r="A21" s="2">
        <v>1020.0</v>
      </c>
      <c r="B21" s="2" t="s">
        <v>30</v>
      </c>
      <c r="C21" s="2" t="s">
        <v>9</v>
      </c>
      <c r="D21" s="2" t="s">
        <v>17</v>
      </c>
      <c r="E21" s="2">
        <v>812547.0</v>
      </c>
      <c r="F21" s="2">
        <v>1.0</v>
      </c>
      <c r="G21" s="2">
        <v>250000.0</v>
      </c>
      <c r="H21" s="2" t="s">
        <v>15</v>
      </c>
      <c r="I21" s="2" t="s">
        <v>12</v>
      </c>
    </row>
    <row r="22">
      <c r="A22" s="2">
        <v>1021.0</v>
      </c>
      <c r="B22" s="2" t="s">
        <v>31</v>
      </c>
      <c r="C22" s="2" t="s">
        <v>21</v>
      </c>
      <c r="D22" s="2" t="s">
        <v>14</v>
      </c>
      <c r="E22" s="2">
        <v>1610681.0</v>
      </c>
      <c r="F22" s="2">
        <v>1.0</v>
      </c>
      <c r="G22" s="2">
        <v>250000.0</v>
      </c>
      <c r="H22" s="2" t="s">
        <v>15</v>
      </c>
      <c r="I22" s="2" t="s">
        <v>20</v>
      </c>
    </row>
    <row r="23">
      <c r="A23" s="2">
        <v>1022.0</v>
      </c>
      <c r="B23" s="2" t="s">
        <v>32</v>
      </c>
      <c r="C23" s="2" t="s">
        <v>13</v>
      </c>
      <c r="D23" s="2" t="s">
        <v>17</v>
      </c>
      <c r="E23" s="2">
        <v>2307618.0</v>
      </c>
      <c r="F23" s="2">
        <v>1.0</v>
      </c>
      <c r="G23" s="2">
        <v>250000.0</v>
      </c>
      <c r="H23" s="2" t="s">
        <v>15</v>
      </c>
      <c r="I23" s="2" t="s">
        <v>12</v>
      </c>
    </row>
    <row r="24">
      <c r="A24" s="2">
        <v>1023.0</v>
      </c>
      <c r="B24" s="2" t="s">
        <v>33</v>
      </c>
      <c r="C24" s="2" t="s">
        <v>9</v>
      </c>
      <c r="D24" s="2" t="s">
        <v>14</v>
      </c>
      <c r="E24" s="2">
        <v>2499678.0</v>
      </c>
      <c r="F24" s="2">
        <v>1.0</v>
      </c>
      <c r="G24" s="2">
        <v>200000.0</v>
      </c>
      <c r="H24" s="2" t="s">
        <v>15</v>
      </c>
      <c r="I24" s="2" t="s">
        <v>20</v>
      </c>
    </row>
    <row r="25">
      <c r="A25" s="2">
        <v>1024.0</v>
      </c>
      <c r="B25" s="2" t="s">
        <v>34</v>
      </c>
      <c r="C25" s="2" t="s">
        <v>29</v>
      </c>
      <c r="D25" s="2" t="s">
        <v>19</v>
      </c>
      <c r="E25" s="2">
        <v>842483.0</v>
      </c>
      <c r="F25" s="2">
        <v>0.0</v>
      </c>
      <c r="G25" s="2">
        <v>0.0</v>
      </c>
      <c r="H25" s="2" t="s">
        <v>15</v>
      </c>
      <c r="I25" s="2" t="s">
        <v>12</v>
      </c>
    </row>
    <row r="26">
      <c r="A26" s="2">
        <v>1025.0</v>
      </c>
      <c r="B26" s="2" t="s">
        <v>35</v>
      </c>
      <c r="C26" s="2" t="s">
        <v>29</v>
      </c>
      <c r="D26" s="2" t="s">
        <v>19</v>
      </c>
      <c r="E26" s="2">
        <v>1358271.0</v>
      </c>
      <c r="F26" s="2">
        <v>0.0</v>
      </c>
      <c r="G26" s="2">
        <v>0.0</v>
      </c>
      <c r="H26" s="2" t="s">
        <v>15</v>
      </c>
      <c r="I26" s="2" t="s">
        <v>18</v>
      </c>
    </row>
    <row r="27">
      <c r="A27" s="2">
        <v>1026.0</v>
      </c>
      <c r="B27" s="2" t="s">
        <v>36</v>
      </c>
      <c r="C27" s="2" t="s">
        <v>16</v>
      </c>
      <c r="D27" s="2" t="s">
        <v>19</v>
      </c>
      <c r="E27" s="2">
        <v>914835.0</v>
      </c>
      <c r="F27" s="2">
        <v>1.0</v>
      </c>
      <c r="G27" s="2">
        <v>250000.0</v>
      </c>
      <c r="H27" s="2" t="s">
        <v>15</v>
      </c>
      <c r="I27" s="2" t="s">
        <v>12</v>
      </c>
    </row>
    <row r="28">
      <c r="A28" s="2">
        <v>1027.0</v>
      </c>
      <c r="B28" s="2" t="s">
        <v>37</v>
      </c>
      <c r="C28" s="2" t="s">
        <v>16</v>
      </c>
      <c r="D28" s="2" t="s">
        <v>10</v>
      </c>
      <c r="E28" s="2">
        <v>1101896.0</v>
      </c>
      <c r="F28" s="2">
        <v>0.0</v>
      </c>
      <c r="G28" s="2">
        <v>0.0</v>
      </c>
      <c r="H28" s="2" t="s">
        <v>15</v>
      </c>
      <c r="I28" s="2" t="s">
        <v>12</v>
      </c>
    </row>
    <row r="29">
      <c r="A29" s="2">
        <v>1028.0</v>
      </c>
      <c r="B29" s="2" t="s">
        <v>38</v>
      </c>
      <c r="C29" s="2" t="s">
        <v>21</v>
      </c>
      <c r="D29" s="2" t="s">
        <v>14</v>
      </c>
      <c r="E29" s="2">
        <v>784896.0</v>
      </c>
      <c r="F29" s="2">
        <v>0.0</v>
      </c>
      <c r="G29" s="2">
        <v>0.0</v>
      </c>
      <c r="H29" s="2" t="s">
        <v>11</v>
      </c>
      <c r="I29" s="2" t="s">
        <v>20</v>
      </c>
    </row>
    <row r="30">
      <c r="A30" s="2">
        <v>1029.0</v>
      </c>
      <c r="B30" s="2" t="s">
        <v>39</v>
      </c>
      <c r="C30" s="2" t="s">
        <v>9</v>
      </c>
      <c r="D30" s="2" t="s">
        <v>10</v>
      </c>
      <c r="E30" s="2">
        <v>1177095.0</v>
      </c>
      <c r="F30" s="2">
        <v>1.0</v>
      </c>
      <c r="G30" s="2">
        <v>250000.0</v>
      </c>
      <c r="H30" s="2" t="s">
        <v>15</v>
      </c>
      <c r="I30" s="2" t="s">
        <v>12</v>
      </c>
    </row>
    <row r="31">
      <c r="A31" s="2">
        <v>1030.0</v>
      </c>
      <c r="B31" s="2" t="s">
        <v>40</v>
      </c>
      <c r="C31" s="2" t="s">
        <v>9</v>
      </c>
      <c r="D31" s="2" t="s">
        <v>10</v>
      </c>
      <c r="E31" s="2">
        <v>771295.0</v>
      </c>
      <c r="F31" s="2">
        <v>1.0</v>
      </c>
      <c r="G31" s="2">
        <v>0.0</v>
      </c>
      <c r="H31" s="2" t="s">
        <v>11</v>
      </c>
      <c r="I31" s="2" t="s">
        <v>12</v>
      </c>
    </row>
    <row r="32">
      <c r="A32" s="2">
        <v>1031.0</v>
      </c>
      <c r="B32" s="2" t="s">
        <v>41</v>
      </c>
      <c r="C32" s="2" t="s">
        <v>16</v>
      </c>
      <c r="D32" s="2" t="s">
        <v>17</v>
      </c>
      <c r="E32" s="2">
        <v>1443974.0</v>
      </c>
      <c r="F32" s="2">
        <v>1.0</v>
      </c>
      <c r="G32" s="2">
        <v>0.0</v>
      </c>
      <c r="H32" s="2" t="s">
        <v>15</v>
      </c>
      <c r="I32" s="2" t="s">
        <v>20</v>
      </c>
    </row>
    <row r="33">
      <c r="A33" s="2">
        <v>1032.0</v>
      </c>
      <c r="B33" s="3">
        <v>45659.0</v>
      </c>
      <c r="C33" s="2" t="s">
        <v>9</v>
      </c>
      <c r="D33" s="2" t="s">
        <v>10</v>
      </c>
      <c r="E33" s="2">
        <v>1587121.0</v>
      </c>
      <c r="F33" s="2">
        <v>1.0</v>
      </c>
      <c r="G33" s="2">
        <v>0.0</v>
      </c>
      <c r="H33" s="2" t="s">
        <v>15</v>
      </c>
      <c r="I33" s="2" t="s">
        <v>18</v>
      </c>
    </row>
    <row r="34">
      <c r="A34" s="2">
        <v>1033.0</v>
      </c>
      <c r="B34" s="3">
        <v>45690.0</v>
      </c>
      <c r="C34" s="2" t="s">
        <v>9</v>
      </c>
      <c r="D34" s="2" t="s">
        <v>17</v>
      </c>
      <c r="E34" s="2">
        <v>2021831.0</v>
      </c>
      <c r="F34" s="2">
        <v>0.0</v>
      </c>
      <c r="G34" s="2">
        <v>0.0</v>
      </c>
      <c r="H34" s="2" t="s">
        <v>11</v>
      </c>
      <c r="I34" s="2" t="s">
        <v>18</v>
      </c>
    </row>
    <row r="35">
      <c r="A35" s="2">
        <v>1034.0</v>
      </c>
      <c r="B35" s="3">
        <v>45718.0</v>
      </c>
      <c r="C35" s="2" t="s">
        <v>29</v>
      </c>
      <c r="D35" s="2" t="s">
        <v>17</v>
      </c>
      <c r="E35" s="2">
        <v>2048224.0</v>
      </c>
      <c r="F35" s="2">
        <v>1.0</v>
      </c>
      <c r="G35" s="2">
        <v>200000.0</v>
      </c>
      <c r="H35" s="2" t="s">
        <v>11</v>
      </c>
      <c r="I35" s="2" t="s">
        <v>20</v>
      </c>
    </row>
    <row r="36">
      <c r="A36" s="2">
        <v>1035.0</v>
      </c>
      <c r="B36" s="3">
        <v>45749.0</v>
      </c>
      <c r="C36" s="2" t="s">
        <v>16</v>
      </c>
      <c r="D36" s="2" t="s">
        <v>10</v>
      </c>
      <c r="E36" s="2">
        <v>2405738.0</v>
      </c>
      <c r="F36" s="2">
        <v>1.0</v>
      </c>
      <c r="G36" s="2">
        <v>0.0</v>
      </c>
      <c r="H36" s="2" t="s">
        <v>15</v>
      </c>
      <c r="I36" s="2" t="s">
        <v>20</v>
      </c>
    </row>
    <row r="37">
      <c r="A37" s="2">
        <v>1036.0</v>
      </c>
      <c r="B37" s="3">
        <v>45779.0</v>
      </c>
      <c r="C37" s="2" t="s">
        <v>13</v>
      </c>
      <c r="D37" s="2" t="s">
        <v>14</v>
      </c>
      <c r="E37" s="2">
        <v>1756731.0</v>
      </c>
      <c r="F37" s="2">
        <v>0.0</v>
      </c>
      <c r="G37" s="2">
        <v>0.0</v>
      </c>
      <c r="H37" s="2" t="s">
        <v>15</v>
      </c>
      <c r="I37" s="2" t="s">
        <v>20</v>
      </c>
    </row>
    <row r="38">
      <c r="A38" s="2">
        <v>1037.0</v>
      </c>
      <c r="B38" s="3">
        <v>45810.0</v>
      </c>
      <c r="C38" s="2" t="s">
        <v>16</v>
      </c>
      <c r="D38" s="2" t="s">
        <v>14</v>
      </c>
      <c r="E38" s="2">
        <v>2215448.0</v>
      </c>
      <c r="F38" s="2">
        <v>1.0</v>
      </c>
      <c r="G38" s="2">
        <v>200000.0</v>
      </c>
      <c r="H38" s="2" t="s">
        <v>15</v>
      </c>
      <c r="I38" s="2" t="s">
        <v>20</v>
      </c>
    </row>
    <row r="39">
      <c r="A39" s="2">
        <v>1038.0</v>
      </c>
      <c r="B39" s="3">
        <v>45840.0</v>
      </c>
      <c r="C39" s="2" t="s">
        <v>13</v>
      </c>
      <c r="D39" s="2" t="s">
        <v>14</v>
      </c>
      <c r="E39" s="2">
        <v>1525816.0</v>
      </c>
      <c r="F39" s="2">
        <v>1.0</v>
      </c>
      <c r="G39" s="2">
        <v>0.0</v>
      </c>
      <c r="H39" s="2" t="s">
        <v>15</v>
      </c>
      <c r="I39" s="2" t="s">
        <v>20</v>
      </c>
    </row>
    <row r="40">
      <c r="A40" s="2">
        <v>1039.0</v>
      </c>
      <c r="B40" s="3">
        <v>45871.0</v>
      </c>
      <c r="C40" s="2" t="s">
        <v>29</v>
      </c>
      <c r="D40" s="2" t="s">
        <v>14</v>
      </c>
      <c r="E40" s="2">
        <v>1074705.0</v>
      </c>
      <c r="F40" s="2">
        <v>1.0</v>
      </c>
      <c r="G40" s="2">
        <v>0.0</v>
      </c>
      <c r="H40" s="2" t="s">
        <v>15</v>
      </c>
      <c r="I40" s="2" t="s">
        <v>18</v>
      </c>
    </row>
    <row r="41">
      <c r="A41" s="2">
        <v>1040.0</v>
      </c>
      <c r="B41" s="3">
        <v>45902.0</v>
      </c>
      <c r="C41" s="2" t="s">
        <v>21</v>
      </c>
      <c r="D41" s="2" t="s">
        <v>14</v>
      </c>
      <c r="E41" s="2">
        <v>2320118.0</v>
      </c>
      <c r="F41" s="2">
        <v>1.0</v>
      </c>
      <c r="G41" s="2">
        <v>250000.0</v>
      </c>
      <c r="H41" s="2" t="s">
        <v>15</v>
      </c>
      <c r="I41" s="2" t="s">
        <v>18</v>
      </c>
    </row>
    <row r="42">
      <c r="A42" s="2">
        <v>1041.0</v>
      </c>
      <c r="B42" s="3">
        <v>45932.0</v>
      </c>
      <c r="C42" s="2" t="s">
        <v>9</v>
      </c>
      <c r="D42" s="2" t="s">
        <v>10</v>
      </c>
      <c r="E42" s="2">
        <v>2358845.0</v>
      </c>
      <c r="F42" s="2">
        <v>1.0</v>
      </c>
      <c r="G42" s="2">
        <v>150000.0</v>
      </c>
      <c r="H42" s="2" t="s">
        <v>15</v>
      </c>
      <c r="I42" s="2" t="s">
        <v>20</v>
      </c>
    </row>
    <row r="43">
      <c r="A43" s="2">
        <v>1042.0</v>
      </c>
      <c r="B43" s="3">
        <v>45963.0</v>
      </c>
      <c r="C43" s="2" t="s">
        <v>29</v>
      </c>
      <c r="D43" s="2" t="s">
        <v>10</v>
      </c>
      <c r="E43" s="2">
        <v>1254594.0</v>
      </c>
      <c r="F43" s="2">
        <v>0.0</v>
      </c>
      <c r="G43" s="2">
        <v>0.0</v>
      </c>
      <c r="H43" s="2" t="s">
        <v>15</v>
      </c>
      <c r="I43" s="2" t="s">
        <v>12</v>
      </c>
    </row>
    <row r="44">
      <c r="A44" s="2">
        <v>1043.0</v>
      </c>
      <c r="B44" s="3">
        <v>45993.0</v>
      </c>
      <c r="C44" s="2" t="s">
        <v>9</v>
      </c>
      <c r="D44" s="2" t="s">
        <v>19</v>
      </c>
      <c r="E44" s="2">
        <v>847718.0</v>
      </c>
      <c r="F44" s="2">
        <v>0.0</v>
      </c>
      <c r="G44" s="2">
        <v>0.0</v>
      </c>
      <c r="H44" s="2" t="s">
        <v>11</v>
      </c>
      <c r="I44" s="2" t="s">
        <v>20</v>
      </c>
    </row>
    <row r="45">
      <c r="A45" s="2">
        <v>1044.0</v>
      </c>
      <c r="B45" s="2" t="s">
        <v>42</v>
      </c>
      <c r="C45" s="2" t="s">
        <v>21</v>
      </c>
      <c r="D45" s="2" t="s">
        <v>14</v>
      </c>
      <c r="E45" s="2">
        <v>2057563.0</v>
      </c>
      <c r="F45" s="2">
        <v>1.0</v>
      </c>
      <c r="G45" s="2">
        <v>0.0</v>
      </c>
      <c r="H45" s="2" t="s">
        <v>15</v>
      </c>
      <c r="I45" s="2" t="s">
        <v>12</v>
      </c>
    </row>
    <row r="46">
      <c r="A46" s="2">
        <v>1045.0</v>
      </c>
      <c r="B46" s="2" t="s">
        <v>43</v>
      </c>
      <c r="C46" s="2" t="s">
        <v>21</v>
      </c>
      <c r="D46" s="2" t="s">
        <v>10</v>
      </c>
      <c r="E46" s="2">
        <v>1345263.0</v>
      </c>
      <c r="F46" s="2">
        <v>1.0</v>
      </c>
      <c r="G46" s="2">
        <v>0.0</v>
      </c>
      <c r="H46" s="2" t="s">
        <v>15</v>
      </c>
      <c r="I46" s="2" t="s">
        <v>20</v>
      </c>
    </row>
    <row r="47">
      <c r="A47" s="2">
        <v>1046.0</v>
      </c>
      <c r="B47" s="2" t="s">
        <v>44</v>
      </c>
      <c r="C47" s="2" t="s">
        <v>29</v>
      </c>
      <c r="D47" s="2" t="s">
        <v>19</v>
      </c>
      <c r="E47" s="2">
        <v>2107321.0</v>
      </c>
      <c r="F47" s="2">
        <v>1.0</v>
      </c>
      <c r="G47" s="2">
        <v>250000.0</v>
      </c>
      <c r="H47" s="2" t="s">
        <v>15</v>
      </c>
      <c r="I47" s="2" t="s">
        <v>20</v>
      </c>
    </row>
    <row r="48">
      <c r="A48" s="2">
        <v>1047.0</v>
      </c>
      <c r="B48" s="2" t="s">
        <v>45</v>
      </c>
      <c r="C48" s="2" t="s">
        <v>21</v>
      </c>
      <c r="D48" s="2" t="s">
        <v>14</v>
      </c>
      <c r="E48" s="2">
        <v>1708239.0</v>
      </c>
      <c r="F48" s="2">
        <v>1.0</v>
      </c>
      <c r="G48" s="2">
        <v>200000.0</v>
      </c>
      <c r="H48" s="2" t="s">
        <v>15</v>
      </c>
      <c r="I48" s="2" t="s">
        <v>18</v>
      </c>
    </row>
    <row r="49">
      <c r="A49" s="2">
        <v>1048.0</v>
      </c>
      <c r="B49" s="2" t="s">
        <v>46</v>
      </c>
      <c r="C49" s="2" t="s">
        <v>13</v>
      </c>
      <c r="D49" s="2" t="s">
        <v>17</v>
      </c>
      <c r="E49" s="2">
        <v>807512.0</v>
      </c>
      <c r="F49" s="2">
        <v>1.0</v>
      </c>
      <c r="G49" s="2">
        <v>150000.0</v>
      </c>
      <c r="H49" s="2" t="s">
        <v>15</v>
      </c>
      <c r="I49" s="2" t="s">
        <v>12</v>
      </c>
    </row>
    <row r="50">
      <c r="A50" s="2">
        <v>1049.0</v>
      </c>
      <c r="B50" s="2" t="s">
        <v>47</v>
      </c>
      <c r="C50" s="2" t="s">
        <v>21</v>
      </c>
      <c r="D50" s="2" t="s">
        <v>19</v>
      </c>
      <c r="E50" s="2">
        <v>847443.0</v>
      </c>
      <c r="F50" s="2">
        <v>1.0</v>
      </c>
      <c r="G50" s="2">
        <v>150000.0</v>
      </c>
      <c r="H50" s="2" t="s">
        <v>15</v>
      </c>
      <c r="I50" s="2" t="s">
        <v>12</v>
      </c>
    </row>
    <row r="51">
      <c r="A51" s="2">
        <v>1050.0</v>
      </c>
      <c r="B51" s="2" t="s">
        <v>48</v>
      </c>
      <c r="C51" s="2" t="s">
        <v>9</v>
      </c>
      <c r="D51" s="2" t="s">
        <v>10</v>
      </c>
      <c r="E51" s="2">
        <v>2219163.0</v>
      </c>
      <c r="F51" s="2">
        <v>1.0</v>
      </c>
      <c r="G51" s="2">
        <v>0.0</v>
      </c>
      <c r="H51" s="2" t="s">
        <v>11</v>
      </c>
      <c r="I51" s="2" t="s">
        <v>18</v>
      </c>
    </row>
    <row r="52">
      <c r="A52" s="2">
        <v>1051.0</v>
      </c>
      <c r="B52" s="2" t="s">
        <v>49</v>
      </c>
      <c r="C52" s="2" t="s">
        <v>9</v>
      </c>
      <c r="D52" s="2" t="s">
        <v>17</v>
      </c>
      <c r="E52" s="2">
        <v>1073616.0</v>
      </c>
      <c r="F52" s="2">
        <v>1.0</v>
      </c>
      <c r="G52" s="2">
        <v>200000.0</v>
      </c>
      <c r="H52" s="2" t="s">
        <v>15</v>
      </c>
      <c r="I52" s="2" t="s">
        <v>18</v>
      </c>
    </row>
    <row r="53">
      <c r="A53" s="2">
        <v>1052.0</v>
      </c>
      <c r="B53" s="2" t="s">
        <v>50</v>
      </c>
      <c r="C53" s="2" t="s">
        <v>9</v>
      </c>
      <c r="D53" s="2" t="s">
        <v>17</v>
      </c>
      <c r="E53" s="2">
        <v>1357409.0</v>
      </c>
      <c r="F53" s="2">
        <v>1.0</v>
      </c>
      <c r="G53" s="2">
        <v>150000.0</v>
      </c>
      <c r="H53" s="2" t="s">
        <v>11</v>
      </c>
      <c r="I53" s="2" t="s">
        <v>18</v>
      </c>
    </row>
    <row r="54">
      <c r="A54" s="2">
        <v>1053.0</v>
      </c>
      <c r="B54" s="2" t="s">
        <v>51</v>
      </c>
      <c r="C54" s="2" t="s">
        <v>9</v>
      </c>
      <c r="D54" s="2" t="s">
        <v>17</v>
      </c>
      <c r="E54" s="2">
        <v>1386976.0</v>
      </c>
      <c r="F54" s="2">
        <v>1.0</v>
      </c>
      <c r="G54" s="2">
        <v>200000.0</v>
      </c>
      <c r="H54" s="2" t="s">
        <v>15</v>
      </c>
      <c r="I54" s="2" t="s">
        <v>18</v>
      </c>
    </row>
    <row r="55">
      <c r="A55" s="2">
        <v>1054.0</v>
      </c>
      <c r="B55" s="2" t="s">
        <v>52</v>
      </c>
      <c r="C55" s="2" t="s">
        <v>13</v>
      </c>
      <c r="D55" s="2" t="s">
        <v>19</v>
      </c>
      <c r="E55" s="2">
        <v>2114447.0</v>
      </c>
      <c r="F55" s="2">
        <v>1.0</v>
      </c>
      <c r="G55" s="2">
        <v>200000.0</v>
      </c>
      <c r="H55" s="2" t="s">
        <v>15</v>
      </c>
      <c r="I55" s="2" t="s">
        <v>12</v>
      </c>
    </row>
    <row r="56">
      <c r="A56" s="2">
        <v>1055.0</v>
      </c>
      <c r="B56" s="2" t="s">
        <v>53</v>
      </c>
      <c r="C56" s="2" t="s">
        <v>16</v>
      </c>
      <c r="D56" s="2" t="s">
        <v>10</v>
      </c>
      <c r="E56" s="2">
        <v>1075037.0</v>
      </c>
      <c r="F56" s="2">
        <v>0.0</v>
      </c>
      <c r="G56" s="2">
        <v>0.0</v>
      </c>
      <c r="H56" s="2" t="s">
        <v>15</v>
      </c>
      <c r="I56" s="2" t="s">
        <v>12</v>
      </c>
    </row>
    <row r="57">
      <c r="A57" s="2">
        <v>1056.0</v>
      </c>
      <c r="B57" s="2" t="s">
        <v>54</v>
      </c>
      <c r="C57" s="2" t="s">
        <v>29</v>
      </c>
      <c r="D57" s="2" t="s">
        <v>17</v>
      </c>
      <c r="E57" s="2">
        <v>1744107.0</v>
      </c>
      <c r="F57" s="2">
        <v>0.0</v>
      </c>
      <c r="G57" s="2">
        <v>0.0</v>
      </c>
      <c r="H57" s="2" t="s">
        <v>15</v>
      </c>
      <c r="I57" s="2" t="s">
        <v>20</v>
      </c>
    </row>
    <row r="58">
      <c r="A58" s="2">
        <v>1057.0</v>
      </c>
      <c r="B58" s="2" t="s">
        <v>55</v>
      </c>
      <c r="C58" s="2" t="s">
        <v>9</v>
      </c>
      <c r="D58" s="2" t="s">
        <v>14</v>
      </c>
      <c r="E58" s="2">
        <v>1507364.0</v>
      </c>
      <c r="F58" s="2">
        <v>0.0</v>
      </c>
      <c r="G58" s="2">
        <v>0.0</v>
      </c>
      <c r="H58" s="2" t="s">
        <v>15</v>
      </c>
      <c r="I58" s="2" t="s">
        <v>20</v>
      </c>
    </row>
    <row r="59">
      <c r="A59" s="2">
        <v>1058.0</v>
      </c>
      <c r="B59" s="2" t="s">
        <v>56</v>
      </c>
      <c r="C59" s="2" t="s">
        <v>21</v>
      </c>
      <c r="D59" s="2" t="s">
        <v>17</v>
      </c>
      <c r="E59" s="2">
        <v>817796.0</v>
      </c>
      <c r="F59" s="2">
        <v>1.0</v>
      </c>
      <c r="G59" s="2">
        <v>0.0</v>
      </c>
      <c r="H59" s="2" t="s">
        <v>15</v>
      </c>
      <c r="I59" s="2" t="s">
        <v>18</v>
      </c>
    </row>
    <row r="60">
      <c r="A60" s="2">
        <v>1059.0</v>
      </c>
      <c r="B60" s="2" t="s">
        <v>57</v>
      </c>
      <c r="C60" s="2" t="s">
        <v>9</v>
      </c>
      <c r="D60" s="2" t="s">
        <v>17</v>
      </c>
      <c r="E60" s="2">
        <v>2040575.0</v>
      </c>
      <c r="F60" s="2">
        <v>0.0</v>
      </c>
      <c r="G60" s="2">
        <v>0.0</v>
      </c>
      <c r="H60" s="2" t="s">
        <v>15</v>
      </c>
      <c r="I60" s="2" t="s">
        <v>18</v>
      </c>
    </row>
    <row r="61">
      <c r="A61" s="2">
        <v>1060.0</v>
      </c>
      <c r="B61" s="3">
        <v>45660.0</v>
      </c>
      <c r="C61" s="2" t="s">
        <v>21</v>
      </c>
      <c r="D61" s="2" t="s">
        <v>19</v>
      </c>
      <c r="E61" s="2">
        <v>1941082.0</v>
      </c>
      <c r="F61" s="2">
        <v>1.0</v>
      </c>
      <c r="G61" s="2">
        <v>150000.0</v>
      </c>
      <c r="H61" s="2" t="s">
        <v>15</v>
      </c>
      <c r="I61" s="2" t="s">
        <v>18</v>
      </c>
    </row>
    <row r="62">
      <c r="A62" s="2">
        <v>1061.0</v>
      </c>
      <c r="B62" s="3">
        <v>45691.0</v>
      </c>
      <c r="C62" s="2" t="s">
        <v>21</v>
      </c>
      <c r="D62" s="2" t="s">
        <v>19</v>
      </c>
      <c r="E62" s="2">
        <v>1690198.0</v>
      </c>
      <c r="F62" s="2">
        <v>1.0</v>
      </c>
      <c r="G62" s="2">
        <v>150000.0</v>
      </c>
      <c r="H62" s="2" t="s">
        <v>15</v>
      </c>
      <c r="I62" s="2" t="s">
        <v>20</v>
      </c>
    </row>
    <row r="63">
      <c r="A63" s="2">
        <v>1062.0</v>
      </c>
      <c r="B63" s="3">
        <v>45719.0</v>
      </c>
      <c r="C63" s="2" t="s">
        <v>9</v>
      </c>
      <c r="D63" s="2" t="s">
        <v>10</v>
      </c>
      <c r="E63" s="2">
        <v>1398376.0</v>
      </c>
      <c r="F63" s="2">
        <v>0.0</v>
      </c>
      <c r="G63" s="2">
        <v>0.0</v>
      </c>
      <c r="H63" s="2" t="s">
        <v>15</v>
      </c>
      <c r="I63" s="2" t="s">
        <v>20</v>
      </c>
    </row>
    <row r="64">
      <c r="A64" s="2">
        <v>1063.0</v>
      </c>
      <c r="B64" s="3">
        <v>45750.0</v>
      </c>
      <c r="C64" s="2" t="s">
        <v>13</v>
      </c>
      <c r="D64" s="2" t="s">
        <v>14</v>
      </c>
      <c r="E64" s="2">
        <v>969544.0</v>
      </c>
      <c r="F64" s="2">
        <v>1.0</v>
      </c>
      <c r="G64" s="2">
        <v>150000.0</v>
      </c>
      <c r="H64" s="2" t="s">
        <v>15</v>
      </c>
      <c r="I64" s="2" t="s">
        <v>20</v>
      </c>
    </row>
    <row r="65">
      <c r="A65" s="2">
        <v>1064.0</v>
      </c>
      <c r="B65" s="3">
        <v>45780.0</v>
      </c>
      <c r="C65" s="2" t="s">
        <v>21</v>
      </c>
      <c r="D65" s="2" t="s">
        <v>19</v>
      </c>
      <c r="E65" s="2">
        <v>1080002.0</v>
      </c>
      <c r="F65" s="2">
        <v>0.0</v>
      </c>
      <c r="G65" s="2">
        <v>0.0</v>
      </c>
      <c r="H65" s="2" t="s">
        <v>11</v>
      </c>
      <c r="I65" s="2" t="s">
        <v>20</v>
      </c>
    </row>
    <row r="66">
      <c r="A66" s="2">
        <v>1065.0</v>
      </c>
      <c r="B66" s="3">
        <v>45811.0</v>
      </c>
      <c r="C66" s="2" t="s">
        <v>21</v>
      </c>
      <c r="D66" s="2" t="s">
        <v>17</v>
      </c>
      <c r="E66" s="2">
        <v>1398002.0</v>
      </c>
      <c r="F66" s="2">
        <v>0.0</v>
      </c>
      <c r="G66" s="2">
        <v>0.0</v>
      </c>
      <c r="H66" s="2" t="s">
        <v>15</v>
      </c>
      <c r="I66" s="2" t="s">
        <v>20</v>
      </c>
    </row>
    <row r="67">
      <c r="A67" s="2">
        <v>1066.0</v>
      </c>
      <c r="B67" s="3">
        <v>45841.0</v>
      </c>
      <c r="C67" s="2" t="s">
        <v>9</v>
      </c>
      <c r="D67" s="2" t="s">
        <v>10</v>
      </c>
      <c r="E67" s="2">
        <v>2288015.0</v>
      </c>
      <c r="F67" s="2">
        <v>1.0</v>
      </c>
      <c r="G67" s="2">
        <v>200000.0</v>
      </c>
      <c r="H67" s="2" t="s">
        <v>11</v>
      </c>
      <c r="I67" s="2" t="s">
        <v>20</v>
      </c>
    </row>
    <row r="68">
      <c r="A68" s="2">
        <v>1067.0</v>
      </c>
      <c r="B68" s="3">
        <v>45872.0</v>
      </c>
      <c r="C68" s="2" t="s">
        <v>21</v>
      </c>
      <c r="D68" s="2" t="s">
        <v>17</v>
      </c>
      <c r="E68" s="2">
        <v>1290978.0</v>
      </c>
      <c r="F68" s="2">
        <v>0.0</v>
      </c>
      <c r="G68" s="2">
        <v>0.0</v>
      </c>
      <c r="H68" s="2" t="s">
        <v>15</v>
      </c>
      <c r="I68" s="2" t="s">
        <v>20</v>
      </c>
    </row>
    <row r="69">
      <c r="A69" s="2">
        <v>1068.0</v>
      </c>
      <c r="B69" s="3">
        <v>45903.0</v>
      </c>
      <c r="C69" s="2" t="s">
        <v>21</v>
      </c>
      <c r="D69" s="2" t="s">
        <v>17</v>
      </c>
      <c r="E69" s="2">
        <v>2277363.0</v>
      </c>
      <c r="F69" s="2">
        <v>0.0</v>
      </c>
      <c r="G69" s="2">
        <v>0.0</v>
      </c>
      <c r="H69" s="2" t="s">
        <v>15</v>
      </c>
      <c r="I69" s="2" t="s">
        <v>18</v>
      </c>
    </row>
    <row r="70">
      <c r="A70" s="2">
        <v>1069.0</v>
      </c>
      <c r="B70" s="3">
        <v>45933.0</v>
      </c>
      <c r="C70" s="2" t="s">
        <v>9</v>
      </c>
      <c r="D70" s="2" t="s">
        <v>19</v>
      </c>
      <c r="E70" s="2">
        <v>2279159.0</v>
      </c>
      <c r="F70" s="2">
        <v>1.0</v>
      </c>
      <c r="G70" s="2">
        <v>0.0</v>
      </c>
      <c r="H70" s="2" t="s">
        <v>15</v>
      </c>
      <c r="I70" s="2" t="s">
        <v>18</v>
      </c>
    </row>
    <row r="71">
      <c r="A71" s="2">
        <v>1070.0</v>
      </c>
      <c r="B71" s="3">
        <v>45964.0</v>
      </c>
      <c r="C71" s="2" t="s">
        <v>9</v>
      </c>
      <c r="D71" s="2" t="s">
        <v>10</v>
      </c>
      <c r="E71" s="2">
        <v>1607317.0</v>
      </c>
      <c r="F71" s="2">
        <v>1.0</v>
      </c>
      <c r="G71" s="2">
        <v>150000.0</v>
      </c>
      <c r="H71" s="2" t="s">
        <v>11</v>
      </c>
      <c r="I71" s="2" t="s">
        <v>18</v>
      </c>
    </row>
    <row r="72">
      <c r="A72" s="2">
        <v>1071.0</v>
      </c>
      <c r="B72" s="3">
        <v>45994.0</v>
      </c>
      <c r="C72" s="2" t="s">
        <v>29</v>
      </c>
      <c r="D72" s="2" t="s">
        <v>14</v>
      </c>
      <c r="E72" s="2">
        <v>1088215.0</v>
      </c>
      <c r="F72" s="2">
        <v>0.0</v>
      </c>
      <c r="G72" s="2">
        <v>0.0</v>
      </c>
      <c r="H72" s="2" t="s">
        <v>15</v>
      </c>
      <c r="I72" s="2" t="s">
        <v>18</v>
      </c>
    </row>
    <row r="73">
      <c r="A73" s="2">
        <v>1072.0</v>
      </c>
      <c r="B73" s="2" t="s">
        <v>58</v>
      </c>
      <c r="C73" s="2" t="s">
        <v>13</v>
      </c>
      <c r="D73" s="2" t="s">
        <v>14</v>
      </c>
      <c r="E73" s="2">
        <v>1021184.0</v>
      </c>
      <c r="F73" s="2">
        <v>1.0</v>
      </c>
      <c r="G73" s="2">
        <v>200000.0</v>
      </c>
      <c r="H73" s="2" t="s">
        <v>15</v>
      </c>
      <c r="I73" s="2" t="s">
        <v>20</v>
      </c>
    </row>
    <row r="74">
      <c r="A74" s="2">
        <v>1073.0</v>
      </c>
      <c r="B74" s="2" t="s">
        <v>59</v>
      </c>
      <c r="C74" s="2" t="s">
        <v>13</v>
      </c>
      <c r="D74" s="2" t="s">
        <v>19</v>
      </c>
      <c r="E74" s="2">
        <v>2171091.0</v>
      </c>
      <c r="F74" s="2">
        <v>0.0</v>
      </c>
      <c r="G74" s="2">
        <v>0.0</v>
      </c>
      <c r="H74" s="2" t="s">
        <v>15</v>
      </c>
      <c r="I74" s="2" t="s">
        <v>12</v>
      </c>
    </row>
    <row r="75">
      <c r="A75" s="2">
        <v>1074.0</v>
      </c>
      <c r="B75" s="2" t="s">
        <v>60</v>
      </c>
      <c r="C75" s="2" t="s">
        <v>21</v>
      </c>
      <c r="D75" s="2" t="s">
        <v>19</v>
      </c>
      <c r="E75" s="2">
        <v>1368234.0</v>
      </c>
      <c r="F75" s="2">
        <v>0.0</v>
      </c>
      <c r="G75" s="2">
        <v>0.0</v>
      </c>
      <c r="H75" s="2" t="s">
        <v>15</v>
      </c>
      <c r="I75" s="2" t="s">
        <v>20</v>
      </c>
    </row>
    <row r="76">
      <c r="A76" s="2">
        <v>1075.0</v>
      </c>
      <c r="B76" s="2" t="s">
        <v>61</v>
      </c>
      <c r="C76" s="2" t="s">
        <v>13</v>
      </c>
      <c r="D76" s="2" t="s">
        <v>10</v>
      </c>
      <c r="E76" s="2">
        <v>1078480.0</v>
      </c>
      <c r="F76" s="2">
        <v>1.0</v>
      </c>
      <c r="G76" s="2">
        <v>250000.0</v>
      </c>
      <c r="H76" s="2" t="s">
        <v>15</v>
      </c>
      <c r="I76" s="2" t="s">
        <v>12</v>
      </c>
    </row>
    <row r="77">
      <c r="A77" s="2">
        <v>1076.0</v>
      </c>
      <c r="B77" s="2" t="s">
        <v>62</v>
      </c>
      <c r="C77" s="2" t="s">
        <v>21</v>
      </c>
      <c r="D77" s="2" t="s">
        <v>14</v>
      </c>
      <c r="E77" s="2">
        <v>732711.0</v>
      </c>
      <c r="F77" s="2">
        <v>1.0</v>
      </c>
      <c r="G77" s="2">
        <v>0.0</v>
      </c>
      <c r="H77" s="2" t="s">
        <v>15</v>
      </c>
      <c r="I77" s="2" t="s">
        <v>18</v>
      </c>
    </row>
    <row r="78">
      <c r="A78" s="2">
        <v>1077.0</v>
      </c>
      <c r="B78" s="2" t="s">
        <v>63</v>
      </c>
      <c r="C78" s="2" t="s">
        <v>29</v>
      </c>
      <c r="D78" s="2" t="s">
        <v>14</v>
      </c>
      <c r="E78" s="2">
        <v>1491971.0</v>
      </c>
      <c r="F78" s="2">
        <v>1.0</v>
      </c>
      <c r="G78" s="2">
        <v>0.0</v>
      </c>
      <c r="H78" s="2" t="s">
        <v>15</v>
      </c>
      <c r="I78" s="2" t="s">
        <v>20</v>
      </c>
    </row>
    <row r="79">
      <c r="A79" s="2">
        <v>1078.0</v>
      </c>
      <c r="B79" s="2" t="s">
        <v>64</v>
      </c>
      <c r="C79" s="2" t="s">
        <v>9</v>
      </c>
      <c r="D79" s="2" t="s">
        <v>14</v>
      </c>
      <c r="E79" s="2">
        <v>1201157.0</v>
      </c>
      <c r="F79" s="2">
        <v>1.0</v>
      </c>
      <c r="G79" s="2">
        <v>0.0</v>
      </c>
      <c r="H79" s="2" t="s">
        <v>15</v>
      </c>
      <c r="I79" s="2" t="s">
        <v>18</v>
      </c>
    </row>
    <row r="80">
      <c r="A80" s="2">
        <v>1079.0</v>
      </c>
      <c r="B80" s="2" t="s">
        <v>65</v>
      </c>
      <c r="C80" s="2" t="s">
        <v>9</v>
      </c>
      <c r="D80" s="2" t="s">
        <v>17</v>
      </c>
      <c r="E80" s="2">
        <v>884423.0</v>
      </c>
      <c r="F80" s="2">
        <v>1.0</v>
      </c>
      <c r="G80" s="2">
        <v>0.0</v>
      </c>
      <c r="H80" s="2" t="s">
        <v>15</v>
      </c>
      <c r="I80" s="2" t="s">
        <v>20</v>
      </c>
    </row>
    <row r="81">
      <c r="A81" s="2">
        <v>1080.0</v>
      </c>
      <c r="B81" s="2" t="s">
        <v>66</v>
      </c>
      <c r="C81" s="2" t="s">
        <v>9</v>
      </c>
      <c r="D81" s="2" t="s">
        <v>14</v>
      </c>
      <c r="E81" s="2">
        <v>1216349.0</v>
      </c>
      <c r="F81" s="2">
        <v>1.0</v>
      </c>
      <c r="G81" s="2">
        <v>250000.0</v>
      </c>
      <c r="H81" s="2" t="s">
        <v>11</v>
      </c>
      <c r="I81" s="2" t="s">
        <v>18</v>
      </c>
    </row>
    <row r="82">
      <c r="A82" s="2">
        <v>1081.0</v>
      </c>
      <c r="B82" s="2" t="s">
        <v>67</v>
      </c>
      <c r="C82" s="2" t="s">
        <v>13</v>
      </c>
      <c r="D82" s="2" t="s">
        <v>17</v>
      </c>
      <c r="E82" s="2">
        <v>2452290.0</v>
      </c>
      <c r="F82" s="2">
        <v>0.0</v>
      </c>
      <c r="G82" s="2">
        <v>0.0</v>
      </c>
      <c r="H82" s="2" t="s">
        <v>15</v>
      </c>
      <c r="I82" s="2" t="s">
        <v>12</v>
      </c>
    </row>
    <row r="83">
      <c r="A83" s="2">
        <v>1082.0</v>
      </c>
      <c r="B83" s="2" t="s">
        <v>68</v>
      </c>
      <c r="C83" s="2" t="s">
        <v>29</v>
      </c>
      <c r="D83" s="2" t="s">
        <v>10</v>
      </c>
      <c r="E83" s="2">
        <v>1612495.0</v>
      </c>
      <c r="F83" s="2">
        <v>1.0</v>
      </c>
      <c r="G83" s="2">
        <v>0.0</v>
      </c>
      <c r="H83" s="2" t="s">
        <v>15</v>
      </c>
      <c r="I83" s="2" t="s">
        <v>12</v>
      </c>
    </row>
    <row r="84">
      <c r="A84" s="2">
        <v>1083.0</v>
      </c>
      <c r="B84" s="2" t="s">
        <v>69</v>
      </c>
      <c r="C84" s="2" t="s">
        <v>13</v>
      </c>
      <c r="D84" s="2" t="s">
        <v>17</v>
      </c>
      <c r="E84" s="2">
        <v>2406493.0</v>
      </c>
      <c r="F84" s="2">
        <v>0.0</v>
      </c>
      <c r="G84" s="2">
        <v>0.0</v>
      </c>
      <c r="H84" s="2" t="s">
        <v>15</v>
      </c>
      <c r="I84" s="2" t="s">
        <v>12</v>
      </c>
    </row>
    <row r="85">
      <c r="A85" s="2">
        <v>1084.0</v>
      </c>
      <c r="B85" s="2" t="s">
        <v>70</v>
      </c>
      <c r="C85" s="2" t="s">
        <v>13</v>
      </c>
      <c r="D85" s="2" t="s">
        <v>10</v>
      </c>
      <c r="E85" s="2">
        <v>1524792.0</v>
      </c>
      <c r="F85" s="2">
        <v>1.0</v>
      </c>
      <c r="G85" s="2">
        <v>250000.0</v>
      </c>
      <c r="H85" s="2" t="s">
        <v>15</v>
      </c>
      <c r="I85" s="2" t="s">
        <v>20</v>
      </c>
    </row>
    <row r="86">
      <c r="A86" s="2">
        <v>1085.0</v>
      </c>
      <c r="B86" s="2" t="s">
        <v>71</v>
      </c>
      <c r="C86" s="2" t="s">
        <v>29</v>
      </c>
      <c r="D86" s="2" t="s">
        <v>14</v>
      </c>
      <c r="E86" s="2">
        <v>2485954.0</v>
      </c>
      <c r="F86" s="2">
        <v>0.0</v>
      </c>
      <c r="G86" s="2">
        <v>0.0</v>
      </c>
      <c r="H86" s="2" t="s">
        <v>15</v>
      </c>
      <c r="I86" s="2" t="s">
        <v>12</v>
      </c>
    </row>
    <row r="87">
      <c r="A87" s="2">
        <v>1086.0</v>
      </c>
      <c r="B87" s="2" t="s">
        <v>72</v>
      </c>
      <c r="C87" s="2" t="s">
        <v>29</v>
      </c>
      <c r="D87" s="2" t="s">
        <v>14</v>
      </c>
      <c r="E87" s="2">
        <v>833272.0</v>
      </c>
      <c r="F87" s="2">
        <v>0.0</v>
      </c>
      <c r="G87" s="2">
        <v>0.0</v>
      </c>
      <c r="H87" s="2" t="s">
        <v>15</v>
      </c>
      <c r="I87" s="2" t="s">
        <v>20</v>
      </c>
    </row>
    <row r="88">
      <c r="A88" s="2">
        <v>1087.0</v>
      </c>
      <c r="B88" s="2" t="s">
        <v>73</v>
      </c>
      <c r="C88" s="2" t="s">
        <v>29</v>
      </c>
      <c r="D88" s="2" t="s">
        <v>10</v>
      </c>
      <c r="E88" s="2">
        <v>1467836.0</v>
      </c>
      <c r="F88" s="2">
        <v>1.0</v>
      </c>
      <c r="G88" s="2">
        <v>0.0</v>
      </c>
      <c r="H88" s="2" t="s">
        <v>15</v>
      </c>
      <c r="I88" s="2" t="s">
        <v>12</v>
      </c>
    </row>
    <row r="89">
      <c r="A89" s="2">
        <v>1088.0</v>
      </c>
      <c r="B89" s="2" t="s">
        <v>74</v>
      </c>
      <c r="C89" s="2" t="s">
        <v>29</v>
      </c>
      <c r="D89" s="2" t="s">
        <v>19</v>
      </c>
      <c r="E89" s="2">
        <v>1686001.0</v>
      </c>
      <c r="F89" s="2">
        <v>1.0</v>
      </c>
      <c r="G89" s="2">
        <v>200000.0</v>
      </c>
      <c r="H89" s="2" t="s">
        <v>15</v>
      </c>
      <c r="I89" s="2" t="s">
        <v>12</v>
      </c>
    </row>
    <row r="90">
      <c r="A90" s="2">
        <v>1089.0</v>
      </c>
      <c r="B90" s="2" t="s">
        <v>75</v>
      </c>
      <c r="C90" s="2" t="s">
        <v>9</v>
      </c>
      <c r="D90" s="2" t="s">
        <v>10</v>
      </c>
      <c r="E90" s="2">
        <v>1402335.0</v>
      </c>
      <c r="F90" s="2">
        <v>1.0</v>
      </c>
      <c r="G90" s="2">
        <v>250000.0</v>
      </c>
      <c r="H90" s="2" t="s">
        <v>15</v>
      </c>
      <c r="I90" s="2" t="s">
        <v>20</v>
      </c>
    </row>
    <row r="91">
      <c r="A91" s="2">
        <v>1090.0</v>
      </c>
      <c r="B91" s="2" t="s">
        <v>76</v>
      </c>
      <c r="C91" s="2" t="s">
        <v>16</v>
      </c>
      <c r="D91" s="2" t="s">
        <v>19</v>
      </c>
      <c r="E91" s="2">
        <v>1507789.0</v>
      </c>
      <c r="F91" s="2">
        <v>1.0</v>
      </c>
      <c r="G91" s="2">
        <v>250000.0</v>
      </c>
      <c r="H91" s="2" t="s">
        <v>15</v>
      </c>
      <c r="I91" s="2" t="s">
        <v>20</v>
      </c>
    </row>
    <row r="92">
      <c r="A92" s="2">
        <v>1091.0</v>
      </c>
      <c r="B92" s="3">
        <v>45661.0</v>
      </c>
      <c r="C92" s="2" t="s">
        <v>16</v>
      </c>
      <c r="D92" s="2" t="s">
        <v>17</v>
      </c>
      <c r="E92" s="2">
        <v>2391985.0</v>
      </c>
      <c r="F92" s="2">
        <v>0.0</v>
      </c>
      <c r="G92" s="2">
        <v>0.0</v>
      </c>
      <c r="H92" s="2" t="s">
        <v>11</v>
      </c>
      <c r="I92" s="2" t="s">
        <v>12</v>
      </c>
    </row>
    <row r="93">
      <c r="A93" s="2">
        <v>1092.0</v>
      </c>
      <c r="B93" s="3">
        <v>45692.0</v>
      </c>
      <c r="C93" s="2" t="s">
        <v>29</v>
      </c>
      <c r="D93" s="2" t="s">
        <v>17</v>
      </c>
      <c r="E93" s="2">
        <v>1826081.0</v>
      </c>
      <c r="F93" s="2">
        <v>0.0</v>
      </c>
      <c r="G93" s="2">
        <v>0.0</v>
      </c>
      <c r="H93" s="2" t="s">
        <v>15</v>
      </c>
      <c r="I93" s="2" t="s">
        <v>20</v>
      </c>
    </row>
    <row r="94">
      <c r="A94" s="2">
        <v>1093.0</v>
      </c>
      <c r="B94" s="3">
        <v>45720.0</v>
      </c>
      <c r="C94" s="2" t="s">
        <v>16</v>
      </c>
      <c r="D94" s="2" t="s">
        <v>17</v>
      </c>
      <c r="E94" s="2">
        <v>702869.0</v>
      </c>
      <c r="F94" s="2">
        <v>0.0</v>
      </c>
      <c r="G94" s="2">
        <v>0.0</v>
      </c>
      <c r="H94" s="2" t="s">
        <v>15</v>
      </c>
      <c r="I94" s="2" t="s">
        <v>12</v>
      </c>
    </row>
    <row r="95">
      <c r="A95" s="2">
        <v>1094.0</v>
      </c>
      <c r="B95" s="3">
        <v>45751.0</v>
      </c>
      <c r="C95" s="2" t="s">
        <v>16</v>
      </c>
      <c r="D95" s="2" t="s">
        <v>14</v>
      </c>
      <c r="E95" s="2">
        <v>1481474.0</v>
      </c>
      <c r="F95" s="2">
        <v>1.0</v>
      </c>
      <c r="G95" s="2">
        <v>250000.0</v>
      </c>
      <c r="H95" s="2" t="s">
        <v>15</v>
      </c>
      <c r="I95" s="2" t="s">
        <v>20</v>
      </c>
    </row>
    <row r="96">
      <c r="A96" s="2">
        <v>1095.0</v>
      </c>
      <c r="B96" s="3">
        <v>45781.0</v>
      </c>
      <c r="C96" s="2" t="s">
        <v>29</v>
      </c>
      <c r="D96" s="2" t="s">
        <v>17</v>
      </c>
      <c r="E96" s="2">
        <v>1154351.0</v>
      </c>
      <c r="F96" s="2">
        <v>1.0</v>
      </c>
      <c r="G96" s="2">
        <v>250000.0</v>
      </c>
      <c r="H96" s="2" t="s">
        <v>15</v>
      </c>
      <c r="I96" s="2" t="s">
        <v>18</v>
      </c>
    </row>
    <row r="97">
      <c r="A97" s="2">
        <v>1096.0</v>
      </c>
      <c r="B97" s="3">
        <v>45812.0</v>
      </c>
      <c r="C97" s="2" t="s">
        <v>16</v>
      </c>
      <c r="D97" s="2" t="s">
        <v>19</v>
      </c>
      <c r="E97" s="2">
        <v>2060828.0</v>
      </c>
      <c r="F97" s="2">
        <v>1.0</v>
      </c>
      <c r="G97" s="2">
        <v>200000.0</v>
      </c>
      <c r="H97" s="2" t="s">
        <v>15</v>
      </c>
      <c r="I97" s="2" t="s">
        <v>18</v>
      </c>
    </row>
    <row r="98">
      <c r="A98" s="2">
        <v>1097.0</v>
      </c>
      <c r="B98" s="3">
        <v>45842.0</v>
      </c>
      <c r="C98" s="2" t="s">
        <v>13</v>
      </c>
      <c r="D98" s="2" t="s">
        <v>17</v>
      </c>
      <c r="E98" s="2">
        <v>1336584.0</v>
      </c>
      <c r="F98" s="2">
        <v>0.0</v>
      </c>
      <c r="G98" s="2">
        <v>0.0</v>
      </c>
      <c r="H98" s="2" t="s">
        <v>15</v>
      </c>
      <c r="I98" s="2" t="s">
        <v>18</v>
      </c>
    </row>
    <row r="99">
      <c r="A99" s="2">
        <v>1098.0</v>
      </c>
      <c r="B99" s="3">
        <v>45873.0</v>
      </c>
      <c r="C99" s="2" t="s">
        <v>21</v>
      </c>
      <c r="D99" s="2" t="s">
        <v>10</v>
      </c>
      <c r="E99" s="2">
        <v>1318467.0</v>
      </c>
      <c r="F99" s="2">
        <v>1.0</v>
      </c>
      <c r="G99" s="2">
        <v>250000.0</v>
      </c>
      <c r="H99" s="2" t="s">
        <v>15</v>
      </c>
      <c r="I99" s="2" t="s">
        <v>18</v>
      </c>
    </row>
    <row r="100">
      <c r="A100" s="2">
        <v>1099.0</v>
      </c>
      <c r="B100" s="3">
        <v>45904.0</v>
      </c>
      <c r="C100" s="2" t="s">
        <v>21</v>
      </c>
      <c r="D100" s="2" t="s">
        <v>10</v>
      </c>
      <c r="E100" s="2">
        <v>1838848.0</v>
      </c>
      <c r="F100" s="2">
        <v>1.0</v>
      </c>
      <c r="G100" s="2">
        <v>0.0</v>
      </c>
      <c r="H100" s="2" t="s">
        <v>15</v>
      </c>
      <c r="I100" s="2" t="s">
        <v>18</v>
      </c>
    </row>
    <row r="101">
      <c r="A101" s="2">
        <v>1100.0</v>
      </c>
      <c r="B101" s="3">
        <v>45934.0</v>
      </c>
      <c r="C101" s="2" t="s">
        <v>29</v>
      </c>
      <c r="D101" s="2" t="s">
        <v>14</v>
      </c>
      <c r="E101" s="2">
        <v>738467.0</v>
      </c>
      <c r="F101" s="2">
        <v>1.0</v>
      </c>
      <c r="G101" s="2">
        <v>250000.0</v>
      </c>
      <c r="H101" s="2" t="s">
        <v>15</v>
      </c>
      <c r="I101" s="2" t="s">
        <v>12</v>
      </c>
    </row>
    <row r="102">
      <c r="A102" s="2">
        <v>1101.0</v>
      </c>
      <c r="B102" s="3">
        <v>45965.0</v>
      </c>
      <c r="C102" s="2" t="s">
        <v>9</v>
      </c>
      <c r="D102" s="2" t="s">
        <v>10</v>
      </c>
      <c r="E102" s="2">
        <v>1736685.0</v>
      </c>
      <c r="F102" s="2">
        <v>1.0</v>
      </c>
      <c r="G102" s="2">
        <v>0.0</v>
      </c>
      <c r="H102" s="2" t="s">
        <v>15</v>
      </c>
      <c r="I102" s="2" t="s">
        <v>18</v>
      </c>
    </row>
    <row r="103">
      <c r="A103" s="2">
        <v>1102.0</v>
      </c>
      <c r="B103" s="3">
        <v>45995.0</v>
      </c>
      <c r="C103" s="2" t="s">
        <v>29</v>
      </c>
      <c r="D103" s="2" t="s">
        <v>19</v>
      </c>
      <c r="E103" s="2">
        <v>1577844.0</v>
      </c>
      <c r="F103" s="2">
        <v>1.0</v>
      </c>
      <c r="G103" s="2">
        <v>200000.0</v>
      </c>
      <c r="H103" s="2" t="s">
        <v>15</v>
      </c>
      <c r="I103" s="2" t="s">
        <v>18</v>
      </c>
    </row>
    <row r="104">
      <c r="A104" s="2">
        <v>1103.0</v>
      </c>
      <c r="B104" s="2" t="s">
        <v>77</v>
      </c>
      <c r="C104" s="2" t="s">
        <v>9</v>
      </c>
      <c r="D104" s="2" t="s">
        <v>17</v>
      </c>
      <c r="E104" s="2">
        <v>1180047.0</v>
      </c>
      <c r="F104" s="2">
        <v>0.0</v>
      </c>
      <c r="G104" s="2">
        <v>0.0</v>
      </c>
      <c r="H104" s="2" t="s">
        <v>15</v>
      </c>
      <c r="I104" s="2" t="s">
        <v>18</v>
      </c>
    </row>
    <row r="105">
      <c r="A105" s="2">
        <v>1104.0</v>
      </c>
      <c r="B105" s="2" t="s">
        <v>78</v>
      </c>
      <c r="C105" s="2" t="s">
        <v>21</v>
      </c>
      <c r="D105" s="2" t="s">
        <v>14</v>
      </c>
      <c r="E105" s="2">
        <v>2407923.0</v>
      </c>
      <c r="F105" s="2">
        <v>0.0</v>
      </c>
      <c r="G105" s="2">
        <v>0.0</v>
      </c>
      <c r="H105" s="2" t="s">
        <v>15</v>
      </c>
      <c r="I105" s="2" t="s">
        <v>18</v>
      </c>
    </row>
    <row r="106">
      <c r="A106" s="2">
        <v>1105.0</v>
      </c>
      <c r="B106" s="2" t="s">
        <v>79</v>
      </c>
      <c r="C106" s="2" t="s">
        <v>29</v>
      </c>
      <c r="D106" s="2" t="s">
        <v>17</v>
      </c>
      <c r="E106" s="2">
        <v>1807447.0</v>
      </c>
      <c r="F106" s="2">
        <v>1.0</v>
      </c>
      <c r="G106" s="2">
        <v>0.0</v>
      </c>
      <c r="H106" s="2" t="s">
        <v>15</v>
      </c>
      <c r="I106" s="2" t="s">
        <v>20</v>
      </c>
    </row>
    <row r="107">
      <c r="A107" s="2">
        <v>1106.0</v>
      </c>
      <c r="B107" s="2" t="s">
        <v>80</v>
      </c>
      <c r="C107" s="2" t="s">
        <v>13</v>
      </c>
      <c r="D107" s="2" t="s">
        <v>17</v>
      </c>
      <c r="E107" s="2">
        <v>1639903.0</v>
      </c>
      <c r="F107" s="2">
        <v>0.0</v>
      </c>
      <c r="G107" s="2">
        <v>0.0</v>
      </c>
      <c r="H107" s="2" t="s">
        <v>15</v>
      </c>
      <c r="I107" s="2" t="s">
        <v>12</v>
      </c>
    </row>
    <row r="108">
      <c r="A108" s="2">
        <v>1107.0</v>
      </c>
      <c r="B108" s="2" t="s">
        <v>81</v>
      </c>
      <c r="C108" s="2" t="s">
        <v>16</v>
      </c>
      <c r="D108" s="2" t="s">
        <v>19</v>
      </c>
      <c r="E108" s="2">
        <v>828391.0</v>
      </c>
      <c r="F108" s="2">
        <v>0.0</v>
      </c>
      <c r="G108" s="2">
        <v>0.0</v>
      </c>
      <c r="H108" s="2" t="s">
        <v>15</v>
      </c>
      <c r="I108" s="2" t="s">
        <v>18</v>
      </c>
    </row>
    <row r="109">
      <c r="A109" s="2">
        <v>1108.0</v>
      </c>
      <c r="B109" s="2" t="s">
        <v>82</v>
      </c>
      <c r="C109" s="2" t="s">
        <v>9</v>
      </c>
      <c r="D109" s="2" t="s">
        <v>10</v>
      </c>
      <c r="E109" s="2">
        <v>1139430.0</v>
      </c>
      <c r="F109" s="2">
        <v>0.0</v>
      </c>
      <c r="G109" s="2">
        <v>0.0</v>
      </c>
      <c r="H109" s="2" t="s">
        <v>11</v>
      </c>
      <c r="I109" s="2" t="s">
        <v>18</v>
      </c>
    </row>
    <row r="110">
      <c r="A110" s="2">
        <v>1109.0</v>
      </c>
      <c r="B110" s="2" t="s">
        <v>83</v>
      </c>
      <c r="C110" s="2" t="s">
        <v>16</v>
      </c>
      <c r="D110" s="2" t="s">
        <v>10</v>
      </c>
      <c r="E110" s="2">
        <v>1717026.0</v>
      </c>
      <c r="F110" s="2">
        <v>0.0</v>
      </c>
      <c r="G110" s="2">
        <v>0.0</v>
      </c>
      <c r="H110" s="2" t="s">
        <v>11</v>
      </c>
      <c r="I110" s="2" t="s">
        <v>18</v>
      </c>
    </row>
    <row r="111">
      <c r="A111" s="2">
        <v>1110.0</v>
      </c>
      <c r="B111" s="2" t="s">
        <v>84</v>
      </c>
      <c r="C111" s="2" t="s">
        <v>16</v>
      </c>
      <c r="D111" s="2" t="s">
        <v>17</v>
      </c>
      <c r="E111" s="2">
        <v>2359280.0</v>
      </c>
      <c r="F111" s="2">
        <v>1.0</v>
      </c>
      <c r="G111" s="2">
        <v>0.0</v>
      </c>
      <c r="H111" s="2" t="s">
        <v>15</v>
      </c>
      <c r="I111" s="2" t="s">
        <v>12</v>
      </c>
    </row>
    <row r="112">
      <c r="A112" s="2">
        <v>1111.0</v>
      </c>
      <c r="B112" s="2" t="s">
        <v>85</v>
      </c>
      <c r="C112" s="2" t="s">
        <v>29</v>
      </c>
      <c r="D112" s="2" t="s">
        <v>14</v>
      </c>
      <c r="E112" s="2">
        <v>956687.0</v>
      </c>
      <c r="F112" s="2">
        <v>1.0</v>
      </c>
      <c r="G112" s="2">
        <v>150000.0</v>
      </c>
      <c r="H112" s="2" t="s">
        <v>15</v>
      </c>
      <c r="I112" s="2" t="s">
        <v>20</v>
      </c>
    </row>
    <row r="113">
      <c r="A113" s="2">
        <v>1112.0</v>
      </c>
      <c r="B113" s="2" t="s">
        <v>86</v>
      </c>
      <c r="C113" s="2" t="s">
        <v>16</v>
      </c>
      <c r="D113" s="2" t="s">
        <v>10</v>
      </c>
      <c r="E113" s="2">
        <v>2474027.0</v>
      </c>
      <c r="F113" s="2">
        <v>1.0</v>
      </c>
      <c r="G113" s="2">
        <v>250000.0</v>
      </c>
      <c r="H113" s="2" t="s">
        <v>15</v>
      </c>
      <c r="I113" s="2" t="s">
        <v>12</v>
      </c>
    </row>
    <row r="114">
      <c r="A114" s="2">
        <v>1113.0</v>
      </c>
      <c r="B114" s="2" t="s">
        <v>87</v>
      </c>
      <c r="C114" s="2" t="s">
        <v>13</v>
      </c>
      <c r="D114" s="2" t="s">
        <v>14</v>
      </c>
      <c r="E114" s="2">
        <v>807450.0</v>
      </c>
      <c r="F114" s="2">
        <v>0.0</v>
      </c>
      <c r="G114" s="2">
        <v>0.0</v>
      </c>
      <c r="H114" s="2" t="s">
        <v>15</v>
      </c>
      <c r="I114" s="2" t="s">
        <v>20</v>
      </c>
    </row>
    <row r="115">
      <c r="A115" s="2">
        <v>1114.0</v>
      </c>
      <c r="B115" s="2" t="s">
        <v>88</v>
      </c>
      <c r="C115" s="2" t="s">
        <v>16</v>
      </c>
      <c r="D115" s="2" t="s">
        <v>10</v>
      </c>
      <c r="E115" s="2">
        <v>871890.0</v>
      </c>
      <c r="F115" s="2">
        <v>1.0</v>
      </c>
      <c r="G115" s="2">
        <v>0.0</v>
      </c>
      <c r="H115" s="2" t="s">
        <v>15</v>
      </c>
      <c r="I115" s="2" t="s">
        <v>18</v>
      </c>
    </row>
    <row r="116">
      <c r="A116" s="2">
        <v>1115.0</v>
      </c>
      <c r="B116" s="2" t="s">
        <v>89</v>
      </c>
      <c r="C116" s="2" t="s">
        <v>29</v>
      </c>
      <c r="D116" s="2" t="s">
        <v>14</v>
      </c>
      <c r="E116" s="2">
        <v>1138741.0</v>
      </c>
      <c r="F116" s="2">
        <v>1.0</v>
      </c>
      <c r="G116" s="2">
        <v>150000.0</v>
      </c>
      <c r="H116" s="2" t="s">
        <v>15</v>
      </c>
      <c r="I116" s="2" t="s">
        <v>18</v>
      </c>
    </row>
    <row r="117">
      <c r="A117" s="2">
        <v>1116.0</v>
      </c>
      <c r="B117" s="2" t="s">
        <v>90</v>
      </c>
      <c r="C117" s="2" t="s">
        <v>13</v>
      </c>
      <c r="D117" s="2" t="s">
        <v>19</v>
      </c>
      <c r="E117" s="2">
        <v>981974.0</v>
      </c>
      <c r="F117" s="2">
        <v>0.0</v>
      </c>
      <c r="G117" s="2">
        <v>0.0</v>
      </c>
      <c r="H117" s="2" t="s">
        <v>15</v>
      </c>
      <c r="I117" s="2" t="s">
        <v>12</v>
      </c>
    </row>
    <row r="118">
      <c r="A118" s="2">
        <v>1117.0</v>
      </c>
      <c r="B118" s="2" t="s">
        <v>91</v>
      </c>
      <c r="C118" s="2" t="s">
        <v>21</v>
      </c>
      <c r="D118" s="2" t="s">
        <v>14</v>
      </c>
      <c r="E118" s="2">
        <v>2148685.0</v>
      </c>
      <c r="F118" s="2">
        <v>1.0</v>
      </c>
      <c r="G118" s="2">
        <v>200000.0</v>
      </c>
      <c r="H118" s="2" t="s">
        <v>15</v>
      </c>
      <c r="I118" s="2" t="s">
        <v>12</v>
      </c>
    </row>
    <row r="119">
      <c r="A119" s="2">
        <v>1118.0</v>
      </c>
      <c r="B119" s="2" t="s">
        <v>92</v>
      </c>
      <c r="C119" s="2" t="s">
        <v>16</v>
      </c>
      <c r="D119" s="2" t="s">
        <v>19</v>
      </c>
      <c r="E119" s="2">
        <v>816381.0</v>
      </c>
      <c r="F119" s="2">
        <v>0.0</v>
      </c>
      <c r="G119" s="2">
        <v>0.0</v>
      </c>
      <c r="H119" s="2" t="s">
        <v>15</v>
      </c>
      <c r="I119" s="2" t="s">
        <v>20</v>
      </c>
    </row>
    <row r="120">
      <c r="A120" s="2">
        <v>1119.0</v>
      </c>
      <c r="B120" s="2" t="s">
        <v>93</v>
      </c>
      <c r="C120" s="2" t="s">
        <v>29</v>
      </c>
      <c r="D120" s="2" t="s">
        <v>19</v>
      </c>
      <c r="E120" s="2">
        <v>2221701.0</v>
      </c>
      <c r="F120" s="2">
        <v>1.0</v>
      </c>
      <c r="G120" s="2">
        <v>0.0</v>
      </c>
      <c r="H120" s="2" t="s">
        <v>15</v>
      </c>
      <c r="I120" s="2" t="s">
        <v>20</v>
      </c>
    </row>
    <row r="121">
      <c r="A121" s="2">
        <v>1120.0</v>
      </c>
      <c r="B121" s="2" t="s">
        <v>94</v>
      </c>
      <c r="C121" s="2" t="s">
        <v>21</v>
      </c>
      <c r="D121" s="2" t="s">
        <v>14</v>
      </c>
      <c r="E121" s="2">
        <v>2320197.0</v>
      </c>
      <c r="F121" s="2">
        <v>1.0</v>
      </c>
      <c r="G121" s="2">
        <v>250000.0</v>
      </c>
      <c r="H121" s="2" t="s">
        <v>15</v>
      </c>
      <c r="I121" s="2" t="s">
        <v>12</v>
      </c>
    </row>
  </sheetData>
  <drawing r:id="rId1"/>
</worksheet>
</file>